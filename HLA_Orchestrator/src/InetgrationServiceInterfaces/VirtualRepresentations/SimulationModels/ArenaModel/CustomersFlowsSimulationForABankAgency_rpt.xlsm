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hidePivotFieldList="1"/>
  <bookViews>
    <workbookView xWindow="288" yWindow="1584" windowWidth="22752" windowHeight="10656" tabRatio="790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DiscreteTimeStatsByRep!$A$1:$K$15</definedName>
    <definedName name="ExternalData_1" localSheetId="6" hidden="1">FrequencyStatsByRep!$A$1:$K$2</definedName>
    <definedName name="ExternalData_1" localSheetId="5" hidden="1">OutputStatsByRep!$A$1:$H$20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44525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O17" i="20" s="1" a="1"/>
  <c r="O17" i="20" s="1"/>
  <c r="I18" i="20"/>
  <c r="I19" i="20"/>
  <c r="I20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K9" i="20" a="1"/>
  <c r="K9" i="20" s="1"/>
  <c r="L3" i="20" a="1"/>
  <c r="L3" i="20" s="1"/>
  <c r="L11" i="20" a="1"/>
  <c r="L11" i="20" s="1"/>
  <c r="L19" i="20" a="1"/>
  <c r="L19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P12" i="20" a="1"/>
  <c r="P12" i="20" s="1"/>
  <c r="P16" i="20" a="1"/>
  <c r="P16" i="20" s="1"/>
  <c r="P20" i="20" a="1"/>
  <c r="P20" i="20" s="1"/>
  <c r="M2" i="18"/>
  <c r="S2" i="18" s="1" a="1"/>
  <c r="S2" i="18" s="1"/>
  <c r="M3" i="18"/>
  <c r="O3" i="18" s="1" a="1"/>
  <c r="O3" i="18" s="1"/>
  <c r="M4" i="18"/>
  <c r="M5" i="18"/>
  <c r="M6" i="18"/>
  <c r="P6" i="18" s="1" a="1"/>
  <c r="P6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O2" i="18" a="1"/>
  <c r="O2" i="18" s="1"/>
  <c r="O4" i="18" a="1"/>
  <c r="O4" i="18" s="1"/>
  <c r="O5" i="18" a="1"/>
  <c r="O5" i="18" s="1"/>
  <c r="O6" i="18" a="1"/>
  <c r="O6" i="18" s="1"/>
  <c r="P2" i="18" a="1"/>
  <c r="P2" i="18" s="1"/>
  <c r="P3" i="18" a="1"/>
  <c r="P3" i="18" s="1"/>
  <c r="P4" i="18" a="1"/>
  <c r="P4" i="18" s="1"/>
  <c r="P5" i="18" a="1"/>
  <c r="P5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S3" i="18" a="1"/>
  <c r="S3" i="18"/>
  <c r="S6" i="18" a="1"/>
  <c r="S6" i="18" s="1"/>
  <c r="T2" i="18" a="1"/>
  <c r="T2" i="18"/>
  <c r="T3" i="18" a="1"/>
  <c r="T3" i="18" s="1"/>
  <c r="T4" i="18" a="1"/>
  <c r="T4" i="18"/>
  <c r="T5" i="18" a="1"/>
  <c r="T5" i="18" s="1"/>
  <c r="T6" i="18" a="1"/>
  <c r="T6" i="18" s="1"/>
  <c r="L2" i="17"/>
  <c r="L3" i="17"/>
  <c r="L4" i="17"/>
  <c r="L5" i="17"/>
  <c r="L6" i="17"/>
  <c r="L7" i="17"/>
  <c r="N5" i="17" s="1" a="1"/>
  <c r="N5" i="17" s="1"/>
  <c r="L8" i="17"/>
  <c r="L9" i="17"/>
  <c r="L10" i="17"/>
  <c r="L11" i="17"/>
  <c r="L12" i="17"/>
  <c r="L13" i="17"/>
  <c r="L14" i="17"/>
  <c r="L15" i="17"/>
  <c r="O15" i="17" s="1" a="1"/>
  <c r="O15" i="17" s="1"/>
  <c r="M2" i="17" a="1"/>
  <c r="M2" i="17" s="1"/>
  <c r="W2" i="17" s="1"/>
  <c r="M3" i="17" a="1"/>
  <c r="M3" i="17" s="1"/>
  <c r="M4" i="17" a="1"/>
  <c r="M4" i="17" s="1"/>
  <c r="M5" i="17" a="1"/>
  <c r="M5" i="17" s="1"/>
  <c r="M6" i="17" a="1"/>
  <c r="M6" i="17" s="1"/>
  <c r="W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N2" i="17" a="1"/>
  <c r="N2" i="17" s="1"/>
  <c r="N10" i="17" a="1"/>
  <c r="N10" i="17" s="1"/>
  <c r="O4" i="17" a="1"/>
  <c r="O4" i="17" s="1"/>
  <c r="O12" i="17" a="1"/>
  <c r="O12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R8" i="17" a="1"/>
  <c r="R8" i="17" s="1"/>
  <c r="S2" i="17" a="1"/>
  <c r="S2" i="17" s="1"/>
  <c r="S10" i="17" a="1"/>
  <c r="S10" i="17" s="1"/>
  <c r="T4" i="17" a="1"/>
  <c r="T4" i="17" s="1"/>
  <c r="T8" i="17" a="1"/>
  <c r="T8" i="17" s="1"/>
  <c r="T12" i="17" a="1"/>
  <c r="T12" i="17" s="1"/>
  <c r="U2" i="17" a="1"/>
  <c r="U2" i="17" s="1"/>
  <c r="U6" i="17" a="1"/>
  <c r="U6" i="17" s="1"/>
  <c r="U8" i="17" a="1"/>
  <c r="U8" i="17" s="1"/>
  <c r="U10" i="17" a="1"/>
  <c r="U10" i="17" s="1"/>
  <c r="U14" i="17" a="1"/>
  <c r="U14" i="17" s="1"/>
  <c r="V2" i="17" a="1"/>
  <c r="V2" i="17" s="1"/>
  <c r="V4" i="17" a="1"/>
  <c r="V4" i="17" s="1"/>
  <c r="V6" i="17" a="1"/>
  <c r="V6" i="17" s="1"/>
  <c r="V8" i="17" a="1"/>
  <c r="V8" i="17" s="1"/>
  <c r="V10" i="17" a="1"/>
  <c r="V10" i="17" s="1"/>
  <c r="V12" i="17" a="1"/>
  <c r="V12" i="17" s="1"/>
  <c r="V14" i="17" a="1"/>
  <c r="V14" i="17" s="1"/>
  <c r="X2" i="17" a="1"/>
  <c r="X2" i="17" s="1"/>
  <c r="X3" i="17" a="1"/>
  <c r="X3" i="17" s="1"/>
  <c r="X5" i="17" a="1"/>
  <c r="X5" i="17" s="1"/>
  <c r="X7" i="17" a="1"/>
  <c r="X7" i="17" s="1"/>
  <c r="X9" i="17" a="1"/>
  <c r="X9" i="17" s="1"/>
  <c r="X10" i="17" a="1"/>
  <c r="X10" i="17" s="1"/>
  <c r="X11" i="17" a="1"/>
  <c r="X11" i="17" s="1"/>
  <c r="X12" i="17" a="1"/>
  <c r="X12" i="17" s="1"/>
  <c r="X13" i="17" a="1"/>
  <c r="X13" i="17" s="1"/>
  <c r="X14" i="17" a="1"/>
  <c r="X14" i="17" s="1"/>
  <c r="X15" i="17" a="1"/>
  <c r="X15" i="17" s="1"/>
  <c r="G2" i="16"/>
  <c r="P4" i="20" l="1" a="1"/>
  <c r="P4" i="20" s="1"/>
  <c r="O14" i="20" a="1"/>
  <c r="O14" i="20" s="1"/>
  <c r="L18" i="20" a="1"/>
  <c r="L18" i="20" s="1"/>
  <c r="L10" i="20" a="1"/>
  <c r="L10" i="20" s="1"/>
  <c r="L2" i="20" a="1"/>
  <c r="L2" i="20" s="1"/>
  <c r="K5" i="20" a="1"/>
  <c r="K5" i="20" s="1"/>
  <c r="N5" i="20"/>
  <c r="P11" i="20" a="1"/>
  <c r="P11" i="20" s="1"/>
  <c r="K20" i="20" a="1"/>
  <c r="K20" i="20" s="1"/>
  <c r="O15" i="20" a="1"/>
  <c r="O15" i="20" s="1"/>
  <c r="O3" i="20" a="1"/>
  <c r="O3" i="20" s="1"/>
  <c r="P5" i="20" a="1"/>
  <c r="P5" i="20" s="1"/>
  <c r="O10" i="20" a="1"/>
  <c r="O10" i="20" s="1"/>
  <c r="L16" i="20" a="1"/>
  <c r="L16" i="20" s="1"/>
  <c r="L8" i="20" a="1"/>
  <c r="L8" i="20" s="1"/>
  <c r="K18" i="20" a="1"/>
  <c r="K18" i="20" s="1"/>
  <c r="P6" i="20" a="1"/>
  <c r="P6" i="20" s="1"/>
  <c r="L9" i="20" a="1"/>
  <c r="L9" i="20" s="1"/>
  <c r="P18" i="20" a="1"/>
  <c r="P18" i="20" s="1"/>
  <c r="P14" i="20" a="1"/>
  <c r="P14" i="20" s="1"/>
  <c r="P10" i="20" a="1"/>
  <c r="P10" i="20" s="1"/>
  <c r="L15" i="20" a="1"/>
  <c r="L15" i="20" s="1"/>
  <c r="L7" i="20" a="1"/>
  <c r="L7" i="20" s="1"/>
  <c r="K17" i="20" a="1"/>
  <c r="K17" i="20" s="1"/>
  <c r="P19" i="20" a="1"/>
  <c r="P19" i="20" s="1"/>
  <c r="L17" i="20" a="1"/>
  <c r="L17" i="20" s="1"/>
  <c r="P3" i="20" a="1"/>
  <c r="P3" i="20" s="1"/>
  <c r="L14" i="20" a="1"/>
  <c r="L14" i="20" s="1"/>
  <c r="N14" i="20" s="1"/>
  <c r="L6" i="20" a="1"/>
  <c r="L6" i="20" s="1"/>
  <c r="N6" i="20" s="1"/>
  <c r="K16" i="20" a="1"/>
  <c r="K16" i="20" s="1"/>
  <c r="P15" i="20" a="1"/>
  <c r="P15" i="20" s="1"/>
  <c r="P17" i="20" a="1"/>
  <c r="P17" i="20" s="1"/>
  <c r="P13" i="20" a="1"/>
  <c r="P13" i="20" s="1"/>
  <c r="P9" i="20" a="1"/>
  <c r="P9" i="20" s="1"/>
  <c r="L13" i="20" a="1"/>
  <c r="L13" i="20" s="1"/>
  <c r="N13" i="20" s="1"/>
  <c r="L5" i="20" a="1"/>
  <c r="L5" i="20" s="1"/>
  <c r="K13" i="20" a="1"/>
  <c r="K13" i="20" s="1"/>
  <c r="P7" i="20" a="1"/>
  <c r="P7" i="20" s="1"/>
  <c r="O18" i="20" a="1"/>
  <c r="O18" i="20" s="1"/>
  <c r="L20" i="20" a="1"/>
  <c r="L20" i="20" s="1"/>
  <c r="N20" i="20" s="1"/>
  <c r="L12" i="20" a="1"/>
  <c r="L12" i="20" s="1"/>
  <c r="N12" i="20" s="1"/>
  <c r="L4" i="20" a="1"/>
  <c r="L4" i="20" s="1"/>
  <c r="N4" i="20" s="1"/>
  <c r="K12" i="20" a="1"/>
  <c r="K12" i="20" s="1"/>
  <c r="N11" i="20"/>
  <c r="N3" i="20"/>
  <c r="N2" i="20"/>
  <c r="N10" i="20"/>
  <c r="N17" i="20"/>
  <c r="N9" i="20"/>
  <c r="N18" i="20"/>
  <c r="N16" i="20"/>
  <c r="N8" i="20"/>
  <c r="N19" i="20"/>
  <c r="N15" i="20"/>
  <c r="N7" i="20"/>
  <c r="O6" i="20" a="1"/>
  <c r="O6" i="20" s="1"/>
  <c r="O2" i="20" a="1"/>
  <c r="O2" i="20" s="1"/>
  <c r="K8" i="20" a="1"/>
  <c r="K8" i="20" s="1"/>
  <c r="K4" i="20" a="1"/>
  <c r="K4" i="20" s="1"/>
  <c r="P2" i="20" a="1"/>
  <c r="P2" i="20" s="1"/>
  <c r="O13" i="20" a="1"/>
  <c r="O13" i="20" s="1"/>
  <c r="O9" i="20" a="1"/>
  <c r="O9" i="20" s="1"/>
  <c r="O5" i="20" a="1"/>
  <c r="O5" i="20" s="1"/>
  <c r="K19" i="20" a="1"/>
  <c r="K19" i="20" s="1"/>
  <c r="K15" i="20" a="1"/>
  <c r="K15" i="20" s="1"/>
  <c r="K11" i="20" a="1"/>
  <c r="K11" i="20" s="1"/>
  <c r="K7" i="20" a="1"/>
  <c r="K7" i="20" s="1"/>
  <c r="K3" i="20" a="1"/>
  <c r="K3" i="20" s="1"/>
  <c r="O20" i="20" a="1"/>
  <c r="O20" i="20" s="1"/>
  <c r="O16" i="20" a="1"/>
  <c r="O16" i="20" s="1"/>
  <c r="O12" i="20" a="1"/>
  <c r="O12" i="20" s="1"/>
  <c r="O8" i="20" a="1"/>
  <c r="O8" i="20" s="1"/>
  <c r="O4" i="20" a="1"/>
  <c r="O4" i="20" s="1"/>
  <c r="K14" i="20" a="1"/>
  <c r="K14" i="20" s="1"/>
  <c r="K10" i="20" a="1"/>
  <c r="K10" i="20" s="1"/>
  <c r="K6" i="20" a="1"/>
  <c r="K6" i="20" s="1"/>
  <c r="K2" i="20" a="1"/>
  <c r="K2" i="20" s="1"/>
  <c r="P8" i="20" a="1"/>
  <c r="P8" i="20" s="1"/>
  <c r="O19" i="20" a="1"/>
  <c r="O19" i="20" s="1"/>
  <c r="O11" i="20" a="1"/>
  <c r="O11" i="20" s="1"/>
  <c r="O7" i="20" a="1"/>
  <c r="O7" i="20" s="1"/>
  <c r="S5" i="18" a="1"/>
  <c r="S5" i="18" s="1"/>
  <c r="R5" i="18"/>
  <c r="U5" i="18"/>
  <c r="U4" i="18"/>
  <c r="R4" i="18"/>
  <c r="R3" i="18"/>
  <c r="U3" i="18"/>
  <c r="R2" i="18"/>
  <c r="U2" i="18"/>
  <c r="U6" i="18"/>
  <c r="R6" i="18"/>
  <c r="S4" i="18" a="1"/>
  <c r="S4" i="18" s="1"/>
  <c r="T14" i="17" a="1"/>
  <c r="T14" i="17" s="1"/>
  <c r="T6" i="17" a="1"/>
  <c r="T6" i="17" s="1"/>
  <c r="S12" i="17" a="1"/>
  <c r="S12" i="17" s="1"/>
  <c r="S4" i="17" a="1"/>
  <c r="S4" i="17" s="1"/>
  <c r="R10" i="17" a="1"/>
  <c r="R10" i="17" s="1"/>
  <c r="R2" i="17" a="1"/>
  <c r="R2" i="17" s="1"/>
  <c r="O14" i="17" a="1"/>
  <c r="O14" i="17" s="1"/>
  <c r="O6" i="17" a="1"/>
  <c r="O6" i="17" s="1"/>
  <c r="N12" i="17" a="1"/>
  <c r="N12" i="17" s="1"/>
  <c r="N4" i="17" a="1"/>
  <c r="N4" i="17" s="1"/>
  <c r="V9" i="17" a="1"/>
  <c r="V9" i="17" s="1"/>
  <c r="U15" i="17" a="1"/>
  <c r="U15" i="17" s="1"/>
  <c r="U7" i="17" a="1"/>
  <c r="U7" i="17" s="1"/>
  <c r="T13" i="17" a="1"/>
  <c r="T13" i="17" s="1"/>
  <c r="T5" i="17" a="1"/>
  <c r="T5" i="17" s="1"/>
  <c r="S11" i="17" a="1"/>
  <c r="S11" i="17" s="1"/>
  <c r="S3" i="17" a="1"/>
  <c r="S3" i="17" s="1"/>
  <c r="R9" i="17" a="1"/>
  <c r="R9" i="17" s="1"/>
  <c r="O13" i="17" a="1"/>
  <c r="O13" i="17" s="1"/>
  <c r="O5" i="17" a="1"/>
  <c r="O5" i="17" s="1"/>
  <c r="N11" i="17" a="1"/>
  <c r="N11" i="17" s="1"/>
  <c r="N3" i="17" a="1"/>
  <c r="N3" i="17" s="1"/>
  <c r="X8" i="17" a="1"/>
  <c r="X8" i="17" s="1"/>
  <c r="V15" i="17" a="1"/>
  <c r="V15" i="17" s="1"/>
  <c r="V7" i="17" a="1"/>
  <c r="V7" i="17" s="1"/>
  <c r="U13" i="17" a="1"/>
  <c r="U13" i="17" s="1"/>
  <c r="U5" i="17" a="1"/>
  <c r="U5" i="17" s="1"/>
  <c r="T11" i="17" a="1"/>
  <c r="T11" i="17" s="1"/>
  <c r="T3" i="17" a="1"/>
  <c r="T3" i="17" s="1"/>
  <c r="S9" i="17" a="1"/>
  <c r="S9" i="17" s="1"/>
  <c r="R15" i="17" a="1"/>
  <c r="R15" i="17" s="1"/>
  <c r="R7" i="17" a="1"/>
  <c r="R7" i="17" s="1"/>
  <c r="O11" i="17" a="1"/>
  <c r="O11" i="17" s="1"/>
  <c r="O3" i="17" a="1"/>
  <c r="O3" i="17" s="1"/>
  <c r="N9" i="17" a="1"/>
  <c r="N9" i="17" s="1"/>
  <c r="U12" i="17" a="1"/>
  <c r="U12" i="17" s="1"/>
  <c r="U4" i="17" a="1"/>
  <c r="U4" i="17" s="1"/>
  <c r="T10" i="17" a="1"/>
  <c r="T10" i="17" s="1"/>
  <c r="T2" i="17" a="1"/>
  <c r="T2" i="17" s="1"/>
  <c r="S8" i="17" a="1"/>
  <c r="S8" i="17" s="1"/>
  <c r="R14" i="17" a="1"/>
  <c r="R14" i="17" s="1"/>
  <c r="R6" i="17" a="1"/>
  <c r="R6" i="17" s="1"/>
  <c r="O10" i="17" a="1"/>
  <c r="O10" i="17" s="1"/>
  <c r="O2" i="17" a="1"/>
  <c r="O2" i="17" s="1"/>
  <c r="N8" i="17" a="1"/>
  <c r="N8" i="17" s="1"/>
  <c r="X6" i="17" a="1"/>
  <c r="X6" i="17" s="1"/>
  <c r="Y6" i="17" s="1"/>
  <c r="Q6" i="17" s="1"/>
  <c r="V13" i="17" a="1"/>
  <c r="V13" i="17" s="1"/>
  <c r="V5" i="17" a="1"/>
  <c r="V5" i="17" s="1"/>
  <c r="U11" i="17" a="1"/>
  <c r="U11" i="17" s="1"/>
  <c r="U3" i="17" a="1"/>
  <c r="U3" i="17" s="1"/>
  <c r="T9" i="17" a="1"/>
  <c r="T9" i="17" s="1"/>
  <c r="S15" i="17" a="1"/>
  <c r="S15" i="17" s="1"/>
  <c r="S7" i="17" a="1"/>
  <c r="S7" i="17" s="1"/>
  <c r="R13" i="17" a="1"/>
  <c r="R13" i="17" s="1"/>
  <c r="R5" i="17" a="1"/>
  <c r="R5" i="17" s="1"/>
  <c r="O9" i="17" a="1"/>
  <c r="O9" i="17" s="1"/>
  <c r="N15" i="17" a="1"/>
  <c r="N15" i="17" s="1"/>
  <c r="N7" i="17" a="1"/>
  <c r="N7" i="17" s="1"/>
  <c r="S14" i="17" a="1"/>
  <c r="S14" i="17" s="1"/>
  <c r="S6" i="17" a="1"/>
  <c r="S6" i="17" s="1"/>
  <c r="R12" i="17" a="1"/>
  <c r="R12" i="17" s="1"/>
  <c r="R4" i="17" a="1"/>
  <c r="R4" i="17" s="1"/>
  <c r="O8" i="17" a="1"/>
  <c r="O8" i="17" s="1"/>
  <c r="N14" i="17" a="1"/>
  <c r="N14" i="17" s="1"/>
  <c r="N6" i="17" a="1"/>
  <c r="N6" i="17" s="1"/>
  <c r="X4" i="17" a="1"/>
  <c r="X4" i="17" s="1"/>
  <c r="V11" i="17" a="1"/>
  <c r="V11" i="17" s="1"/>
  <c r="V3" i="17" a="1"/>
  <c r="V3" i="17" s="1"/>
  <c r="U9" i="17" a="1"/>
  <c r="U9" i="17" s="1"/>
  <c r="T15" i="17" a="1"/>
  <c r="T15" i="17" s="1"/>
  <c r="T7" i="17" a="1"/>
  <c r="T7" i="17" s="1"/>
  <c r="S13" i="17" a="1"/>
  <c r="S13" i="17" s="1"/>
  <c r="S5" i="17" a="1"/>
  <c r="S5" i="17" s="1"/>
  <c r="R11" i="17" a="1"/>
  <c r="R11" i="17" s="1"/>
  <c r="R3" i="17" a="1"/>
  <c r="R3" i="17" s="1"/>
  <c r="O7" i="17" a="1"/>
  <c r="O7" i="17" s="1"/>
  <c r="N13" i="17" a="1"/>
  <c r="N13" i="17" s="1"/>
  <c r="Y2" i="17"/>
  <c r="Q2" i="17" s="1"/>
  <c r="Y9" i="17"/>
  <c r="Q9" i="17" s="1"/>
  <c r="W9" i="17"/>
  <c r="W8" i="17"/>
  <c r="Y8" i="17"/>
  <c r="Q8" i="17" s="1"/>
  <c r="W13" i="17"/>
  <c r="Y13" i="17"/>
  <c r="Q13" i="17" s="1"/>
  <c r="W15" i="17"/>
  <c r="Y15" i="17"/>
  <c r="Q15" i="17" s="1"/>
  <c r="W7" i="17"/>
  <c r="Y7" i="17"/>
  <c r="W14" i="17"/>
  <c r="Y14" i="17"/>
  <c r="Q14" i="17" s="1"/>
  <c r="W12" i="17"/>
  <c r="Y12" i="17"/>
  <c r="Q12" i="17" s="1"/>
  <c r="W5" i="17"/>
  <c r="Y5" i="17"/>
  <c r="Q5" i="17" s="1"/>
  <c r="W11" i="17"/>
  <c r="Y11" i="17"/>
  <c r="Q11" i="17" s="1"/>
  <c r="W4" i="17"/>
  <c r="Y4" i="17"/>
  <c r="Q4" i="17" s="1"/>
  <c r="Y10" i="17"/>
  <c r="Q10" i="17" s="1"/>
  <c r="W10" i="17"/>
  <c r="W3" i="17"/>
  <c r="Y3" i="17"/>
  <c r="Q3" i="17" s="1"/>
  <c r="Q7" i="17" l="1"/>
</calcChain>
</file>

<file path=xl/connections.xml><?xml version="1.0" encoding="utf-8"?>
<connections xmlns="http://schemas.openxmlformats.org/spreadsheetml/2006/main">
  <connection id="1" name="Connection" type="1" refreshedVersion="4" saveData="1">
    <dbPr connection="Driver={SQLite3 ODBC Driver};Database=e:\work from home\wsimpledts_poc\gitrepository\hla_orchestrator\src\inetgrationserviceinterfaces\virtualrepresentations\simulationmodels\arenamodel\customersflowssimulationforabankagency.db;StepAPI=;SyncPragma=;NoTXN=;Timeout=;ShortNames=;LongNames=;NoCreat=;NoWCHAR=;FKSupport=;JournalMode=;OEMCP=;LoadExt=;BigInt=;JDConv=;" command="select * from FrequencyStatsQuery"/>
  </connection>
  <connection id="2" name="Connection1" type="1" refreshedVersion="4" saveData="1">
    <dbPr connection="Driver={SQLite3 ODBC Driver};Database=e:\work from home\wsimpledts_poc\gitrepository\hla_orchestrator\src\inetgrationserviceinterfaces\virtualrepresentations\simulationmodels\arenamodel\customersflowssimulationforabankagency.db;StepAPI=;SyncPragma=;NoTXN=;Timeout=;ShortNames=;LongNames=;NoCreat=;NoWCHAR=;FKSupport=;JournalMode=;OEMCP=;LoadExt=;BigInt=;JDConv=;" command="select * from ProjectQuery"/>
  </connection>
  <connection id="3" name="Connection2" type="1" refreshedVersion="4" saveData="1">
    <dbPr connection="Driver={SQLite3 ODBC Driver};Database=e:\work from home\wsimpledts_poc\gitrepository\hla_orchestrator\src\inetgrationserviceinterfaces\virtualrepresentations\simulationmodels\arenamodel\customersflowssimulationforabankagency.db;StepAPI=;SyncPragma=;NoTXN=;Timeout=;ShortNames=;LongNames=;NoCreat=;NoWCHAR=;FKSupport=;JournalMode=;OEMCP=;LoadExt=;BigInt=;JDConv=;" command="select * from DiscreteTimeStatsQuery"/>
  </connection>
  <connection id="4" name="Connection3" type="1" refreshedVersion="4" saveData="1">
    <dbPr connection="Driver={SQLite3 ODBC Driver};Database=e:\work from home\wsimpledts_poc\gitrepository\hla_orchestrator\src\inetgrationserviceinterfaces\virtualrepresentations\simulationmodels\arenamodel\customersflowssimulationforabankagency.db;StepAPI=;SyncPragma=;NoTXN=;Timeout=;ShortNames=;LongNames=;NoCreat=;NoWCHAR=;FKSupport=;JournalMode=;OEMCP=;LoadExt=;BigInt=;JDConv=;" command="select * from ContinuousTimeStatsQuery"/>
  </connection>
  <connection id="5" name="Connection4" type="1" refreshedVersion="4" saveData="1">
    <dbPr connection="Driver={SQLite3 ODBC Driver};Database=e:\work from home\wsimpledts_poc\gitrepository\hla_orchestrator\src\inetgrationserviceinterfaces\virtualrepresentations\simulationmodels\arenamodel\customersflowssimulationforabankagency.db;StepAPI=;SyncPragma=;NoTXN=;Timeout=;ShortNames=;LongNames=;NoCreat=;NoWCHAR=;FKSupport=;JournalMode=;OEMCP=;LoadExt=;BigInt=;JDConv=;" command="select * from CounterStatsQuery"/>
  </connection>
  <connection id="6" name="Connection5" type="1" refreshedVersion="4" saveData="1">
    <dbPr connection="Driver={SQLite3 ODBC Driver};Database=e:\work from home\wsimpledts_poc\gitrepository\hla_orchestrator\src\inetgrationserviceinterfaces\virtualrepresentations\simulationmodels\arenamodel\customersflowssimulationforabankagency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<sst xmlns="http://schemas.openxmlformats.org/spreadsheetml/2006/main" count="458" uniqueCount="124">
  <si>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</si>
  <si>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</si>
  <si>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</si>
  <si>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</si>
  <si>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</si>
  <si>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</si>
  <si>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</si>
  <si>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</si>
  <si>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</si>
  <si>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</si>
  <si>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</si>
  <si>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</si>
  <si>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</si>
  <si>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</si>
  <si>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</si>
  <si>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</si>
  <si>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</si>
  <si>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</si>
  <si>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</si>
  <si>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</si>
  <si>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</si>
  <si>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</si>
  <si>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</si>
  <si>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</si>
  <si>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</si>
  <si>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</si>
  <si>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</si>
  <si>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</si>
  <si>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</si>
  <si>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</si>
  <si>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</si>
  <si>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</si>
  <si>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</si>
  <si>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</si>
  <si>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</si>
  <si>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</si>
  <si>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</si>
  <si>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</si>
  <si>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</si>
  <si>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</si>
  <si>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</si>
  <si>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</si>
  <si>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</si>
  <si>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</si>
  <si>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</si>
  <si>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</si>
  <si>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</si>
  <si>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</si>
  <si>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</si>
  <si>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</si>
  <si>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</si>
  <si>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</si>
  <si>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</si>
  <si>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</si>
  <si>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</si>
  <si>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</si>
  <si>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</si>
  <si>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</si>
  <si>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</si>
  <si>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</si>
  <si>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</si>
  <si>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</si>
  <si>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</si>
  <si>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</si>
  <si>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</si>
  <si>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</si>
  <si>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IncludeOption</t>
  </si>
  <si>
    <t>Bank Agency counters simulation</t>
  </si>
  <si>
    <t>E:\Work From Home\wSimpleDTS_PoC\GitRepository\HLA_Orchestrator\src\InetgrationServiceInterfaces\VirtualRepresentations\SimulationModels\ArenaModel\CustomersFlowsSimulationForABankAgency.p</t>
  </si>
  <si>
    <t>2025-04-21 17:17:29</t>
  </si>
  <si>
    <t>CounterService.Queue</t>
  </si>
  <si>
    <t>Waiting Cost</t>
  </si>
  <si>
    <t>Queue</t>
  </si>
  <si>
    <t>Waiting Time</t>
  </si>
  <si>
    <t>Customer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</si>
  <si>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</si>
  <si>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</si>
  <si>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</si>
  <si>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</si>
  <si>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</si>
  <si>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</si>
  <si>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</si>
  <si>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</si>
  <si>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</si>
  <si>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</si>
  <si>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</si>
  <si>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</si>
  <si>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</si>
  <si>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Counter</t>
  </si>
  <si>
    <t>Instantaneous Utilization</t>
  </si>
  <si>
    <t>Resource</t>
  </si>
  <si>
    <t>Number Busy</t>
  </si>
  <si>
    <t>Number Scheduled</t>
  </si>
  <si>
    <t>Number Waiting</t>
  </si>
  <si>
    <t>WIP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</si>
  <si>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</si>
  <si>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</si>
  <si>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</si>
  <si>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</si>
  <si>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</si>
  <si>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</si>
  <si>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</si>
  <si>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</si>
  <si>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</si>
  <si>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</si>
  <si>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</si>
  <si>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</si>
  <si>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</si>
  <si>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</si>
  <si>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</si>
  <si>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Counter.BusyCost</t>
  </si>
  <si>
    <t>Counter.IdleCost</t>
  </si>
  <si>
    <t>Counter.NumberSeized</t>
  </si>
  <si>
    <t>Total Number Seized</t>
  </si>
  <si>
    <t>Counter.ScheduledUtilization</t>
  </si>
  <si>
    <t>Scheduled Utilization</t>
  </si>
  <si>
    <t>Counter.UsageCost</t>
  </si>
  <si>
    <t>Customer.NumberIn</t>
  </si>
  <si>
    <t>Number In</t>
  </si>
  <si>
    <t>Customer.NumberOut</t>
  </si>
  <si>
    <t>Number Out</t>
  </si>
  <si>
    <t>System.NumberOut</t>
  </si>
  <si>
    <t>System.TotalCost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</si>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</sst>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5768.720918171297" createdVersion="7" refreshedVersion="4" minRefreshableVersion="3" recordCount="5">
  <cacheSource type="worksheet">
    <worksheetSource name="ContinuousStatsTable"/>
  </cacheSource>
  <cacheFields count="21">
    <cacheField name="ProjectName" numFmtId="0">
      <sharedItems containsBlank="1" count="5">
        <s v="Bank Agency counters simulation"/>
        <m u="1"/>
        <s v="Assembly Line" u="1"/>
        <s v="Unnamed Project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Counter"/>
        <s v="CounterService.Queue"/>
        <s v="Customer"/>
        <m u="1"/>
        <s v="Match 4.Queue1" u="1"/>
        <s v="Processing Post 3.Queue" u="1"/>
        <s v="Peptone LS Bin Blender 6.Queue" u="1"/>
        <s v="Weighroom 4.Queue" u="1"/>
        <s v="Load Mill 14.Queue" u="1"/>
        <s v="e_batch" u="1"/>
        <s v="Match 2.Queue2" u="1"/>
        <s v="Match 5.Queue1" u="1"/>
        <s v="r_largepinmill" u="1"/>
        <s v="Load Mill 5.Queue" u="1"/>
        <s v="CIP V Blender 3.Queue" u="1"/>
        <s v="CIP Large Pin.Queue" u="1"/>
        <s v="Process Part Type 2 on Prep2.Queue" u="1"/>
        <s v="Match 13.Queue1" u="1"/>
        <s v="DPM SS Bin Blender 3.Queue" u="1"/>
        <s v="Match 3.Queue2" u="1"/>
        <s v="Match 6.Queue1" u="1"/>
        <s v="Weighroom 5.Queue" u="1"/>
        <s v="Seize shared resource.Queue" u="1"/>
        <s v="Machine" u="1"/>
        <s v="Part Type 1" u="1"/>
        <s v="Peptone LS Bin Blender 5.Queue" u="1"/>
        <s v="Resource 1" u="1"/>
        <s v="Match 4.Queue2" u="1"/>
        <s v="Match 7.Queue1" u="1"/>
        <s v="Manual.Queue" u="1"/>
        <s v="Load Mill 6.Queue" u="1"/>
        <s v="Tub Cleaning.Queue" u="1"/>
        <s v="CIP V Blender 8.Queue" u="1"/>
        <s v="Load Mill 11.Queue" u="1"/>
        <s v="Match 5.Queue2" u="1"/>
        <s v="Match 8.Queue1" u="1"/>
        <s v="Weighroom.Queue" u="1"/>
        <s v="Operator 1" u="1"/>
        <s v="Weighroom 6.Queue" u="1"/>
        <s v="Load Mill 16.Queue" u="1"/>
        <s v="Processing Post 2.Queue" u="1"/>
        <s v="Peca" u="1"/>
        <s v="Part Type 2" u="1"/>
        <s v="Match 6.Queue2" u="1"/>
        <s v="Match 9.Queue1" u="1"/>
        <s v="r_weighroom207" u="1"/>
        <s v="Load Mill 7.Queue" u="1"/>
        <s v="CIP V Blender 4.Queue" u="1"/>
        <s v="Peptone LS Bin Blender 4.Queue" u="1"/>
        <s v="Peptone SS Bin Blender 4.Queue" u="1"/>
        <s v="Operator 2" u="1"/>
        <s v="r_smallpinmill" u="1"/>
        <s v="Match 13.Queue2" u="1"/>
        <s v="Match 7.Queue2" u="1"/>
        <s v="Servo CIP.Queue" u="1"/>
        <s v="r_binblender" u="1"/>
        <s v="Weighroom 7.Queue" u="1"/>
        <s v="Load Mill.Queue" u="1"/>
        <s v="ABFL.Queue" u="1"/>
        <s v="Match 8.Queue2" u="1"/>
        <s v="Seize Machine And Operator.Queue" u="1"/>
        <s v="Process Part Type 1 on Prep1.Queue" u="1"/>
        <s v="Operator 3" u="1"/>
        <s v="Load Mill 8.Queue" u="1"/>
        <s v="Load Mill 13.Queue" u="1"/>
        <s v="r_largefitzmill" u="1"/>
        <s v="Entity 1" u="1"/>
        <s v="Match 9.Queue2" u="1"/>
        <s v="r_weighroom208" u="1"/>
        <s v="Weighroom 8.Queue" u="1"/>
        <s v="Peptone LS Bin Blender 3.Queue" u="1"/>
        <s v="Peptone SS Bin Blender 3.Queue" u="1"/>
        <s v="Packaging Machine" u="1"/>
        <s v="Processing Post 1.Queue" u="1"/>
        <s v="r_CIP" u="1"/>
        <s v="Operator 4" u="1"/>
        <s v="r_weighroom135" u="1"/>
        <s v="Match 11.Queue1" u="1"/>
        <s v="Peptone LS Bin Blender.Queue" u="1"/>
        <s v="Peptone SS Bin Blender.Queue" u="1"/>
        <s v="Seize 40.Queue" u="1"/>
        <s v="Load Mill 9.Queue" u="1"/>
        <s v="DPM SS Bin Blender 4.Queue" u="1"/>
        <s v="Seize Pin Mill Weigh Room.Queue" u="1"/>
        <s v="r Prep1" u="1"/>
        <s v="Process Packaging.Queue" u="1"/>
        <s v="Tub Level" u="1"/>
        <s v="CIP Large Fitz.Queue" u="1"/>
        <s v="r Prep2" u="1"/>
        <s v="Seize Operator.Queue" u="1"/>
        <s v="Load Mill 10.Queue" u="1"/>
        <s v="DPM SS Bin Blender.Queue" u="1"/>
        <s v="r_weighroom203" u="1"/>
        <s v="Peptone LS Bin Blender 2.Queue" u="1"/>
        <s v="Peptone SS Bin Blender 2.Queue" u="1"/>
        <s v="Load Mill 15.Queue" u="1"/>
        <s v="E 1" u="1"/>
        <s v="Peptone LS V Blender 2.Queue" u="1"/>
        <s v="E 2" u="1"/>
        <s v="DPM SS Bin Blender 2.Queue" u="1"/>
        <s v="r_smallfitzmill" u="1"/>
        <s v="Peptone LS V Blender 3.Queue" u="1"/>
        <s v="Servo.Queue" u="1"/>
        <s v="Match 11.Queue2" u="1"/>
        <s v="Load Mill 2.Queue" u="1"/>
        <s v="Processing Post 4.Queue" u="1"/>
        <s v="Peptone LS V Blender.Queue" u="1"/>
        <s v="Operator" u="1"/>
        <s v="Peptone LS V Blender 6.Queue" u="1"/>
        <s v="r_weighroom204" u="1"/>
        <s v="Weighroom 2.Queue" u="1"/>
        <s v="Peptone LS V Blender 7.Queue" u="1"/>
        <s v="Load Mill 12.Queue" u="1"/>
        <s v="CIP V Blender.Queue" u="1"/>
        <s v="Seize LS V Blender 8.Queue" u="1"/>
        <s v="r Shared" u="1"/>
        <s v="Load Mill 3.Queue" u="1"/>
        <s v="CIP V Blender 2.Queue" u="1"/>
        <s v="r_vblender" u="1"/>
        <s v="Enter the Belt.Queue" u="1"/>
        <s v="Match 2.Queue1" u="1"/>
        <s v="Seize Fitz Mill Weigh Room.Queue" u="1"/>
        <s v="Weighroom 3.Queue" u="1"/>
        <s v="r_operator" u="1"/>
        <s v="Match 3.Queue1" u="1"/>
        <s v="Seize Bin Blender.Queue" u="1"/>
        <s v="Load Mill 4.Queue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29633925829040397" maxValue="4"/>
    </cacheField>
    <cacheField name="BatchMeansHalfWidth" numFmtId="0">
      <sharedItems containsSemiMixedTypes="0" containsString="0" containsNumber="1" minValue="4.2797035815414199E-2" maxValue="2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1" maxValue="13"/>
    </cacheField>
    <cacheField name="LastRecordedValue" numFmtId="0">
      <sharedItems containsSemiMixedTypes="0" containsString="0" containsNumber="1" minValue="0" maxValue="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29633925829040397" maxValue="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29633925829040397" maxValue="4"/>
    </cacheField>
    <cacheField name="MaximumAverage" numFmtId="0">
      <sharedItems containsSemiMixedTypes="0" containsString="0" containsNumber="1" minValue="0.29633925829040397" maxValue="4"/>
    </cacheField>
    <cacheField name="SummaryHalfWidth" numFmtId="0">
      <sharedItems containsSemiMixedTypes="0" containsString="0" containsNumber="1" minValue="4.2797035815414199E-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" refreshedDate="45768.720919328705" createdVersion="7" refreshedVersion="4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Unnamed Project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Constant(1)" u="1"/>
        <s v="Constant(2)" u="1"/>
        <s v="Constant(3)" u="1"/>
        <s v="Constant(4)" u="1"/>
        <s v="waiting" u="1"/>
        <s v="Constant(5)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LL" refreshedDate="45768.720920601852" createdVersion="7" refreshedVersion="4" minRefreshableVersion="3" recordCount="14">
  <cacheSource type="worksheet">
    <worksheetSource name="DiscreteStatsTable"/>
  </cacheSource>
  <cacheFields count="25">
    <cacheField name="ProjectName" numFmtId="0">
      <sharedItems containsBlank="1" count="5">
        <s v="Bank Agency counters simulation"/>
        <m u="1"/>
        <s v="Assembly Line" u="1"/>
        <s v="Unnamed Project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CounterService.Queue"/>
        <s v="Customer"/>
        <m u="1"/>
        <s v="Match 4.Queue1" u="1"/>
        <s v="Processing Post 3.Queue" u="1"/>
        <s v="Peptone LS Bin Blender 6.Queue" u="1"/>
        <s v="Weighroom 4.Queue" u="1"/>
        <s v="Load Mill 14.Queue" u="1"/>
        <s v="e_batch" u="1"/>
        <s v="Match 2.Queue2" u="1"/>
        <s v="Match 5.Queue1" u="1"/>
        <s v="Load Mill 5.Queue" u="1"/>
        <s v="CIP V Blender 3.Queue" u="1"/>
        <s v="CIP Large Pin.Queue" u="1"/>
        <s v="Process Part Type 2 on Prep2.Queue" u="1"/>
        <s v="Match 13.Queue1" u="1"/>
        <s v="DPM SS Bin Blender 3.Queue" u="1"/>
        <s v="Match 3.Queue2" u="1"/>
        <s v="Match 6.Queue1" u="1"/>
        <s v="Weighroom 5.Queue" u="1"/>
        <s v="Seize shared resource.Queue" u="1"/>
        <s v="Part Type 1" u="1"/>
        <s v="Peptone LS Bin Blender 5.Queue" u="1"/>
        <s v="Match 4.Queue2" u="1"/>
        <s v="Match 7.Queue1" u="1"/>
        <s v="Manual.Queue" u="1"/>
        <s v="Tub Cleaning.Queue" u="1"/>
        <s v="CIP V Blender 8.Queue" u="1"/>
        <s v="Match 5.Queue2" u="1"/>
        <s v="Weighroom.Queue" u="1"/>
        <s v="Weighroom 6.Queue" u="1"/>
        <s v="Load Mill 16.Queue" u="1"/>
        <s v="Processing Post 2.Queue" u="1"/>
        <s v="Tally 1" u="1"/>
        <s v="Peca" u="1"/>
        <s v="Part Type 2" u="1"/>
        <s v="Match 6.Queue2" u="1"/>
        <s v="Match 9.Queue1" u="1"/>
        <s v="Load Mill 7.Queue" u="1"/>
        <s v="CIP V Blender 4.Queue" u="1"/>
        <s v="Peptone LS Bin Blender 4.Queue" u="1"/>
        <s v="Peptone SS Bin Blender 4.Queue" u="1"/>
        <s v="Match 13.Queue2" u="1"/>
        <s v="Match 7.Queue2" u="1"/>
        <s v="Servo CIP.Queue" u="1"/>
        <s v="Weighroom 7.Queue" u="1"/>
        <s v="Load Mill.Queue" u="1"/>
        <s v="ABFL.Queue" u="1"/>
        <s v="Seize Machine And Operator.Queue" u="1"/>
        <s v="Process Part Type 1 on Prep1.Queue" u="1"/>
        <s v="Load Mill 8.Queue" u="1"/>
        <s v="Load Mill 13.Queue" u="1"/>
        <s v="Entity 1" u="1"/>
        <s v="Match 9.Queue2" u="1"/>
        <s v="Weighroom 8.Queue" u="1"/>
        <s v="Peptone SS Bin Blender 3.Queue" u="1"/>
        <s v="Tub Cleaning" u="1"/>
        <s v="Processing Post 1.Queue" u="1"/>
        <s v="Match 11.Queue1" u="1"/>
        <s v="Process Part Type 2 on Prep2" u="1"/>
        <s v="Peptone LS Bin Blender.Queue" u="1"/>
        <s v="Peptone SS Bin Blender.Queue" u="1"/>
        <s v="Seize 40.Queue" u="1"/>
        <s v="Load Mill 9.Queue" u="1"/>
        <s v="DPM SS Bin Blender 4.Queue" u="1"/>
        <s v="Seize Pin Mill Weigh Room.Queue" u="1"/>
        <s v="Production Time" u="1"/>
        <s v="Process Packaging.Queue" u="1"/>
        <s v="CIP Large Fitz.Queue" u="1"/>
        <s v="Seize Operator.Queue" u="1"/>
        <s v="Load Mill 10.Queue" u="1"/>
        <s v="DPM SS Bin Blender.Queue" u="1"/>
        <s v="Peptone LS Bin Blender 2.Queue" u="1"/>
        <s v="Peptone SS Bin Blender 2.Queue" u="1"/>
        <s v="Load Mill 15.Queue" u="1"/>
        <s v="E 1" u="1"/>
        <s v="Peptone LS V Blender 2.Queue" u="1"/>
        <s v="E 2" u="1"/>
        <s v="Process Packaging" u="1"/>
        <s v="Peptone LS V Blender 3.Queue" u="1"/>
        <s v="Servo.Queue" u="1"/>
        <s v="Match 11.Queue2" u="1"/>
        <s v="Load Mill 2.Queue" u="1"/>
        <s v="Record Cycle Time" u="1"/>
        <s v="Processing Post 4.Queue" u="1"/>
        <s v="Peptone LS V Blender.Queue" u="1"/>
        <s v="Weighroom 2.Queue" u="1"/>
        <s v="Peptone LS V Blender 7.Queue" u="1"/>
        <s v="Process Part Type 1 on Prep1" u="1"/>
        <s v="Load Mill 12.Queue" u="1"/>
        <s v="CIP V Blender.Queue" u="1"/>
        <s v="Seize LS V Blender 8.Queue" u="1"/>
        <s v="Load Mill 3.Queue" u="1"/>
        <s v="CIP V Blender 2.Queue" u="1"/>
        <s v="Enter the Belt.Queue" u="1"/>
        <s v="Match 2.Queue1" u="1"/>
        <s v="Seize Fitz Mill Weigh Room.Queue" u="1"/>
        <s v="Weighroom 3.Queue" u="1"/>
        <s v="Match 3.Queue1" u="1"/>
        <s v="Seize Bin Blender.Queue" u="1"/>
        <s v="Load Mill 4.Queue" u="1"/>
      </sharedItems>
    </cacheField>
    <cacheField name="Type" numFmtId="0">
      <sharedItems containsBlank="1" count="19"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Wait Time Per Entity" u="1"/>
        <s v="VA Time Per Entity" u="1"/>
        <s v="Interval" u="1"/>
        <s v="Total Time Per Entity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2.536568613840998"/>
    </cacheField>
    <cacheField name="BatchMeansHalfWidth" numFmtId="0">
      <sharedItems containsSemiMixedTypes="0" containsString="0" containsNumber="1" minValue="0" maxValue="1.74643548991867"/>
    </cacheField>
    <cacheField name="Minimum" numFmtId="0">
      <sharedItems containsSemiMixedTypes="0" containsString="0" containsNumber="1" minValue="0" maxValue="18.746681550135701"/>
    </cacheField>
    <cacheField name="Maximum" numFmtId="0">
      <sharedItems containsSemiMixedTypes="0" containsString="0" containsNumber="1" minValue="0" maxValue="104.730202183391"/>
    </cacheField>
    <cacheField name="NumberObservations" numFmtId="0">
      <sharedItems containsSemiMixedTypes="0" containsString="0" containsNumber="1" containsInteger="1" minValue="1425" maxValue="142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2.5365686138409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2.536568613840998"/>
    </cacheField>
    <cacheField name="MaximumAverage" numFmtId="0">
      <sharedItems containsSemiMixedTypes="0" containsString="0" containsNumber="1" minValue="0" maxValue="32.536568613840998"/>
    </cacheField>
    <cacheField name="OverallMinimum" numFmtId="0">
      <sharedItems containsSemiMixedTypes="0" containsString="0" containsNumber="1" minValue="0" maxValue="18.746681550135701"/>
    </cacheField>
    <cacheField name="OverallMaximum" numFmtId="0">
      <sharedItems containsSemiMixedTypes="0" containsString="0" containsNumber="1" minValue="0" maxValue="104.730202183391"/>
    </cacheField>
    <cacheField name="AverageNumberObservations" numFmtId="0">
      <sharedItems containsSemiMixedTypes="0" containsString="0" containsNumber="1" containsInteger="1" minValue="1425" maxValue="1427"/>
    </cacheField>
    <cacheField name="SummaryHalfWidth" numFmtId="0">
      <sharedItems containsSemiMixedTypes="0" containsString="0" containsNumber="1" minValue="0" maxValue="1.74643548991867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ELL" refreshedDate="45768.720921759261" createdVersion="7" refreshedVersion="4" minRefreshableVersion="3" recordCount="19">
  <cacheSource type="worksheet">
    <worksheetSource name="OutputTable"/>
  </cacheSource>
  <cacheFields count="16">
    <cacheField name="ProjectName" numFmtId="0">
      <sharedItems containsBlank="1" count="5">
        <s v="Bank Agency counters simulation"/>
        <m u="1"/>
        <s v="Assembly Line" u="1"/>
        <s v="Unnamed Project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7"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ounter.BusyCost"/>
        <s v="Counter.IdleCost"/>
        <s v="Counter.NumberSeized"/>
        <s v="Counter.ScheduledUtilization"/>
        <s v="Counter.UsageCost"/>
        <s v="Customer.NumberIn"/>
        <s v="Customer.NumberOut"/>
        <s v="System.NumberOut"/>
        <s v="System.TotalCost"/>
        <m u="1"/>
        <s v="Operator 1.ScheduledUtilization" u="1"/>
        <s v="Operator 2.ScheduledUtilization" u="1"/>
        <s v="Operator 3.ScheduledUtilization" u="1"/>
        <s v="Operator 4.ScheduledUtilization" u="1"/>
        <s v="r_largefitzmill.NumberSeized" u="1"/>
        <s v="r_smallfitzmill.NumberSeized" u="1"/>
        <s v="r Prep1.NumberSeized" u="1"/>
        <s v="r Prep2.NumberSeized" u="1"/>
        <s v="Machine.ScheduledUtilization" u="1"/>
        <s v="Packaging Machine.ScheduledUtilization" u="1"/>
        <s v="E 1.NumberOut" u="1"/>
        <s v="Peca.NumberOut" u="1"/>
        <s v="r_vblender.ScheduledUtilization" u="1"/>
        <s v="Process Packaging Accum Wait Time" u="1"/>
        <s v="E 2.NumberOut" u="1"/>
        <s v="r_CIP.ScheduledUtilization" u="1"/>
        <s v="r_CIP.NumberSeized" u="1"/>
        <s v="Resource 1.ScheduledUtilization" u="1"/>
        <s v="Part Type 1.NumberOut" u="1"/>
        <s v="Part Type 2.NumberOut" u="1"/>
        <s v="E 1.NumberIn" u="1"/>
        <s v="e_batch.NumberIn" u="1"/>
        <s v="Part Type 1.NumberIn" u="1"/>
        <s v="Part Type 2.NumberIn" u="1"/>
        <s v="E 2.Number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Process Part Type 1 on Prep1 Accum VA Time" u="1"/>
        <s v="Process Part Type 2 on Prep2 Accum VA Time" u="1"/>
        <s v="r_largepinmill.NumberSeized" u="1"/>
        <s v="Process Part Type 1 on Prep1 Number Out" u="1"/>
        <s v="Process Part Type 2 on Prep2 Number Out" u="1"/>
        <s v="Process Part Type 1 on Prep1 Accum Wait Time" u="1"/>
        <s v="Process Part Type 2 on Prep2 Accum Wait Time" u="1"/>
        <s v="r_smallpinmill.NumberSeized" u="1"/>
        <s v="Machine.NumberSeized" u="1"/>
        <s v="Process Part Type 1 on Prep1 Number In" u="1"/>
        <s v="Process Part Type 2 on Prep2 Number In" u="1"/>
        <s v="r_vblender.NumberSeized" u="1"/>
        <s v="r Shared.ScheduledUtilization" u="1"/>
        <s v="Resource 1.NumberSeized" u="1"/>
        <s v="Tub Cleaning Accum Wait Time" u="1"/>
        <s v="Packaging Machine.NumberSeized" u="1"/>
        <s v="Operator.ScheduledUtilization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Number Out" u="1"/>
        <s v="r Shared.NumberSeized" u="1"/>
        <s v="Peca.NumberIn" u="1"/>
        <s v="Entity 1.NumberIn" u="1"/>
        <s v="Operator.NumberSeized" u="1"/>
        <s v="r_largepinmill.ScheduledUtilization" u="1"/>
        <s v="r_binblender.NumberSeized" u="1"/>
        <s v="r Prep1.ScheduledUtilization" u="1"/>
        <s v="r Prep2.ScheduledUtilization" u="1"/>
        <s v="r_smallpinmill.ScheduledUtilization" u="1"/>
        <s v="e_batch.NumberOut" u="1"/>
        <s v="r_binblender.ScheduledUtilization" u="1"/>
        <s v="Entity 1.NumberOut" u="1"/>
        <s v="Tub Cleaning Number Out" u="1"/>
        <s v="Process Packaging Number In" u="1"/>
        <s v="Tub Cleaning Accum VA Time" u="1"/>
        <s v="r_operator.NumberSeized" u="1"/>
        <s v="Process Packaging Accum VA Time" u="1"/>
        <s v="Tub Cleaning Number In" u="1"/>
      </sharedItems>
    </cacheField>
    <cacheField name="Type" numFmtId="0">
      <sharedItems containsBlank="1" count="16"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System"/>
        <s v="Resource"/>
        <s v="Entity"/>
        <m u="1"/>
        <s v="Process" u="1"/>
      </sharedItems>
    </cacheField>
    <cacheField name="RecordedValue" numFmtId="0">
      <sharedItems containsSemiMixedTypes="0" containsString="0" containsNumber="1" minValue="0" maxValue="76781.48329102419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76781.48329102419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76781.483291024197"/>
    </cacheField>
    <cacheField name="Maximum" numFmtId="0">
      <sharedItems containsSemiMixedTypes="0" containsString="0" containsNumber="1" minValue="0" maxValue="76781.4832910241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ELL" refreshedDate="45768.720922800923" createdVersion="7" refreshedVersion="4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 Products" u="1"/>
        <s v="Counter 2" u="1"/>
        <s v="Counter 1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s v="2025-04-21 17:17:29"/>
    <n v="1"/>
    <x v="0"/>
    <x v="0"/>
    <x v="0"/>
    <n v="0.60394696593357899"/>
    <n v="4.2797035815414199E-2"/>
    <n v="0"/>
    <n v="1"/>
    <n v="0.5"/>
    <n v="0"/>
    <s v="Bank Agency counters simulationCounterInstantaneous UtilizationResource"/>
    <n v="1"/>
    <n v="0.60394696593357899"/>
    <n v="0"/>
    <n v="0.95"/>
    <n v="4E+20"/>
    <n v="0.60394696593357899"/>
    <n v="0.60394696593357899"/>
    <n v="4.2797035815414199E-2"/>
  </r>
  <r>
    <x v="0"/>
    <s v="2025-04-21 17:17:29"/>
    <n v="1"/>
    <x v="0"/>
    <x v="1"/>
    <x v="0"/>
    <n v="2.41578786373432"/>
    <n v="0.17118814326165699"/>
    <n v="0"/>
    <n v="4"/>
    <n v="2"/>
    <n v="0"/>
    <s v="Bank Agency counters simulationCounterNumber BusyResource"/>
    <n v="1"/>
    <n v="2.41578786373432"/>
    <n v="0"/>
    <n v="0.95"/>
    <n v="4E+20"/>
    <n v="2.41578786373432"/>
    <n v="2.41578786373432"/>
    <n v="0.17118814326165699"/>
  </r>
  <r>
    <x v="0"/>
    <s v="2025-04-21 17:17:29"/>
    <n v="1"/>
    <x v="0"/>
    <x v="2"/>
    <x v="0"/>
    <n v="4"/>
    <n v="2E+20"/>
    <n v="4"/>
    <n v="4"/>
    <n v="4"/>
    <n v="0"/>
    <s v="Bank Agency counters simulationCounterNumber ScheduledResource"/>
    <n v="1"/>
    <n v="4"/>
    <n v="0"/>
    <n v="0.95"/>
    <n v="4E+20"/>
    <n v="4"/>
    <n v="4"/>
    <n v="2E+20"/>
  </r>
  <r>
    <x v="0"/>
    <s v="2025-04-21 17:17:29"/>
    <n v="1"/>
    <x v="1"/>
    <x v="3"/>
    <x v="1"/>
    <n v="0.29633925829040397"/>
    <n v="0.160930803131032"/>
    <n v="0"/>
    <n v="9"/>
    <n v="0"/>
    <n v="0"/>
    <s v="Bank Agency counters simulationCounterService.QueueNumber WaitingQueue"/>
    <n v="1"/>
    <n v="0.29633925829040397"/>
    <n v="0"/>
    <n v="0.95"/>
    <n v="4E+20"/>
    <n v="0.29633925829040397"/>
    <n v="0.29633925829040397"/>
    <n v="0.160930803131032"/>
  </r>
  <r>
    <x v="0"/>
    <s v="2025-04-21 17:17:29"/>
    <n v="1"/>
    <x v="2"/>
    <x v="4"/>
    <x v="2"/>
    <n v="2.7121271220247301"/>
    <n v="0.31301629707034501"/>
    <n v="0"/>
    <n v="13"/>
    <n v="2"/>
    <n v="0"/>
    <s v="Bank Agency counters simulationCustomerWIPEntity"/>
    <n v="1"/>
    <n v="2.7121271220247301"/>
    <n v="0"/>
    <n v="0.95"/>
    <n v="4E+20"/>
    <n v="2.7121271220247301"/>
    <n v="2.7121271220247301"/>
    <n v="0.31301629707034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4">
  <r>
    <x v="0"/>
    <s v="2025-04-21 17:17:29"/>
    <n v="1"/>
    <x v="0"/>
    <x v="0"/>
    <x v="0"/>
    <n v="0"/>
    <n v="0"/>
    <n v="0"/>
    <n v="0"/>
    <n v="1427"/>
    <s v="Bank Agency counters simulationCounterService.QueueWaiting CostQueue"/>
    <n v="1"/>
    <n v="0"/>
    <n v="0"/>
    <n v="0.95"/>
    <n v="4E+20"/>
    <n v="0"/>
    <n v="0"/>
    <n v="0"/>
    <n v="0"/>
    <n v="1427"/>
    <n v="0"/>
    <n v="1"/>
    <n v="1"/>
  </r>
  <r>
    <x v="0"/>
    <s v="2025-04-21 17:17:29"/>
    <n v="1"/>
    <x v="0"/>
    <x v="1"/>
    <x v="0"/>
    <n v="1.9935927677560401"/>
    <n v="0.94312742317579301"/>
    <n v="0"/>
    <n v="36.146016707033098"/>
    <n v="1427"/>
    <s v="Bank Agency counters simulationCounterService.QueueWaiting TimeQueue"/>
    <n v="1"/>
    <n v="1.9935927677560401"/>
    <n v="0"/>
    <n v="0.95"/>
    <n v="4E+20"/>
    <n v="1.9935927677560401"/>
    <n v="1.9935927677560401"/>
    <n v="0"/>
    <n v="36.146016707033098"/>
    <n v="1427"/>
    <n v="0.94312742317579301"/>
    <n v="1"/>
    <n v="1"/>
  </r>
  <r>
    <x v="0"/>
    <s v="2025-04-21 17:17:29"/>
    <n v="1"/>
    <x v="1"/>
    <x v="2"/>
    <x v="1"/>
    <n v="0"/>
    <n v="0"/>
    <n v="0"/>
    <n v="0"/>
    <n v="1425"/>
    <s v="Bank Agency counters simulationCustomerNVA CostEntity"/>
    <n v="1"/>
    <n v="0"/>
    <n v="0"/>
    <n v="0.95"/>
    <n v="4E+20"/>
    <n v="0"/>
    <n v="0"/>
    <n v="0"/>
    <n v="0"/>
    <n v="1425"/>
    <n v="0"/>
    <n v="1"/>
    <n v="1"/>
  </r>
  <r>
    <x v="0"/>
    <s v="2025-04-21 17:17:29"/>
    <n v="1"/>
    <x v="1"/>
    <x v="3"/>
    <x v="1"/>
    <n v="0"/>
    <n v="0"/>
    <n v="0"/>
    <n v="0"/>
    <n v="1425"/>
    <s v="Bank Agency counters simulationCustomerNVA TimeEntity"/>
    <n v="1"/>
    <n v="0"/>
    <n v="0"/>
    <n v="0.95"/>
    <n v="4E+20"/>
    <n v="0"/>
    <n v="0"/>
    <n v="0"/>
    <n v="0"/>
    <n v="1425"/>
    <n v="0"/>
    <n v="1"/>
    <n v="1"/>
  </r>
  <r>
    <x v="0"/>
    <s v="2025-04-21 17:17:29"/>
    <n v="1"/>
    <x v="1"/>
    <x v="4"/>
    <x v="1"/>
    <n v="0"/>
    <n v="0"/>
    <n v="0"/>
    <n v="0"/>
    <n v="1425"/>
    <s v="Bank Agency counters simulationCustomerOther CostEntity"/>
    <n v="1"/>
    <n v="0"/>
    <n v="0"/>
    <n v="0.95"/>
    <n v="4E+20"/>
    <n v="0"/>
    <n v="0"/>
    <n v="0"/>
    <n v="0"/>
    <n v="1425"/>
    <n v="0"/>
    <n v="1"/>
    <n v="1"/>
  </r>
  <r>
    <x v="0"/>
    <s v="2025-04-21 17:17:29"/>
    <n v="1"/>
    <x v="1"/>
    <x v="5"/>
    <x v="1"/>
    <n v="0"/>
    <n v="0"/>
    <n v="0"/>
    <n v="0"/>
    <n v="1425"/>
    <s v="Bank Agency counters simulationCustomerOther TimeEntity"/>
    <n v="1"/>
    <n v="0"/>
    <n v="0"/>
    <n v="0.95"/>
    <n v="4E+20"/>
    <n v="0"/>
    <n v="0"/>
    <n v="0"/>
    <n v="0"/>
    <n v="1425"/>
    <n v="0"/>
    <n v="1"/>
    <n v="1"/>
  </r>
  <r>
    <x v="0"/>
    <s v="2025-04-21 17:17:29"/>
    <n v="1"/>
    <x v="1"/>
    <x v="6"/>
    <x v="1"/>
    <n v="32.536568613840998"/>
    <n v="1.74643548991867"/>
    <n v="18.746681550135701"/>
    <n v="104.730202183391"/>
    <n v="1425"/>
    <s v="Bank Agency counters simulationCustomerTotal CostEntity"/>
    <n v="1"/>
    <n v="32.536568613840998"/>
    <n v="0"/>
    <n v="0.95"/>
    <n v="4E+20"/>
    <n v="32.536568613840998"/>
    <n v="32.536568613840998"/>
    <n v="18.746681550135701"/>
    <n v="104.730202183391"/>
    <n v="1425"/>
    <n v="1.74643548991867"/>
    <n v="1"/>
    <n v="1"/>
  </r>
  <r>
    <x v="0"/>
    <s v="2025-04-21 17:17:29"/>
    <n v="1"/>
    <x v="1"/>
    <x v="7"/>
    <x v="1"/>
    <n v="18.264675099613701"/>
    <n v="1.5028085220151901"/>
    <n v="9.3733407750678506"/>
    <n v="78.961710183541996"/>
    <n v="1425"/>
    <s v="Bank Agency counters simulationCustomerTotal TimeEntity"/>
    <n v="1"/>
    <n v="18.264675099613701"/>
    <n v="0"/>
    <n v="0.95"/>
    <n v="4E+20"/>
    <n v="18.264675099613701"/>
    <n v="18.264675099613701"/>
    <n v="9.3733407750678506"/>
    <n v="78.961710183541996"/>
    <n v="1425"/>
    <n v="1.5028085220151901"/>
    <n v="1"/>
    <n v="1"/>
  </r>
  <r>
    <x v="0"/>
    <s v="2025-04-21 17:17:29"/>
    <n v="1"/>
    <x v="1"/>
    <x v="8"/>
    <x v="1"/>
    <n v="0"/>
    <n v="0"/>
    <n v="0"/>
    <n v="0"/>
    <n v="1425"/>
    <s v="Bank Agency counters simulationCustomerTransfer CostEntity"/>
    <n v="1"/>
    <n v="0"/>
    <n v="0"/>
    <n v="0.95"/>
    <n v="4E+20"/>
    <n v="0"/>
    <n v="0"/>
    <n v="0"/>
    <n v="0"/>
    <n v="1425"/>
    <n v="0"/>
    <n v="1"/>
    <n v="1"/>
  </r>
  <r>
    <x v="0"/>
    <s v="2025-04-21 17:17:29"/>
    <n v="1"/>
    <x v="1"/>
    <x v="9"/>
    <x v="1"/>
    <n v="0"/>
    <n v="0"/>
    <n v="0"/>
    <n v="0"/>
    <n v="1425"/>
    <s v="Bank Agency counters simulationCustomerTransfer TimeEntity"/>
    <n v="1"/>
    <n v="0"/>
    <n v="0"/>
    <n v="0.95"/>
    <n v="4E+20"/>
    <n v="0"/>
    <n v="0"/>
    <n v="0"/>
    <n v="0"/>
    <n v="1425"/>
    <n v="0"/>
    <n v="1"/>
    <n v="1"/>
  </r>
  <r>
    <x v="0"/>
    <s v="2025-04-21 17:17:29"/>
    <n v="1"/>
    <x v="1"/>
    <x v="10"/>
    <x v="1"/>
    <n v="32.536568613840998"/>
    <n v="1.74643548991867"/>
    <n v="18.746681550135701"/>
    <n v="104.730202183391"/>
    <n v="1425"/>
    <s v="Bank Agency counters simulationCustomerVA CostEntity"/>
    <n v="1"/>
    <n v="32.536568613840998"/>
    <n v="0"/>
    <n v="0.95"/>
    <n v="4E+20"/>
    <n v="32.536568613840998"/>
    <n v="32.536568613840998"/>
    <n v="18.746681550135701"/>
    <n v="104.730202183391"/>
    <n v="1425"/>
    <n v="1.74643548991867"/>
    <n v="1"/>
    <n v="1"/>
  </r>
  <r>
    <x v="0"/>
    <s v="2025-04-21 17:17:29"/>
    <n v="1"/>
    <x v="1"/>
    <x v="11"/>
    <x v="1"/>
    <n v="16.268284306920499"/>
    <n v="0.87321774495933602"/>
    <n v="9.3733407750678506"/>
    <n v="52.365101091695401"/>
    <n v="1425"/>
    <s v="Bank Agency counters simulationCustomerVA TimeEntity"/>
    <n v="1"/>
    <n v="16.268284306920499"/>
    <n v="0"/>
    <n v="0.95"/>
    <n v="4E+20"/>
    <n v="16.268284306920499"/>
    <n v="16.268284306920499"/>
    <n v="9.3733407750678506"/>
    <n v="52.365101091695401"/>
    <n v="1425"/>
    <n v="0.87321774495933602"/>
    <n v="1"/>
    <n v="1"/>
  </r>
  <r>
    <x v="0"/>
    <s v="2025-04-21 17:17:29"/>
    <n v="1"/>
    <x v="1"/>
    <x v="12"/>
    <x v="1"/>
    <n v="0"/>
    <n v="0"/>
    <n v="0"/>
    <n v="0"/>
    <n v="1425"/>
    <s v="Bank Agency counters simulationCustomerWait CostEntity"/>
    <n v="1"/>
    <n v="0"/>
    <n v="0"/>
    <n v="0.95"/>
    <n v="4E+20"/>
    <n v="0"/>
    <n v="0"/>
    <n v="0"/>
    <n v="0"/>
    <n v="1425"/>
    <n v="0"/>
    <n v="1"/>
    <n v="1"/>
  </r>
  <r>
    <x v="0"/>
    <s v="2025-04-21 17:17:29"/>
    <n v="1"/>
    <x v="1"/>
    <x v="13"/>
    <x v="1"/>
    <n v="1.99639079269325"/>
    <n v="0.92964375033963298"/>
    <n v="0"/>
    <n v="36.146016707033098"/>
    <n v="1425"/>
    <s v="Bank Agency counters simulationCustomerWait TimeEntity"/>
    <n v="1"/>
    <n v="1.99639079269325"/>
    <n v="0"/>
    <n v="0.95"/>
    <n v="4E+20"/>
    <n v="1.99639079269325"/>
    <n v="1.99639079269325"/>
    <n v="0"/>
    <n v="36.146016707033098"/>
    <n v="1425"/>
    <n v="0.92964375033963298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9">
  <r>
    <x v="0"/>
    <s v="2025-04-21 17:17:29"/>
    <n v="1"/>
    <x v="0"/>
    <x v="0"/>
    <x v="0"/>
    <n v="0"/>
    <n v="0"/>
    <s v="Bank Agency counters simulationAll Entities.NVACostNVA CostSystem"/>
    <n v="1"/>
    <n v="0"/>
    <n v="0"/>
    <n v="0.95"/>
    <n v="4E+20"/>
    <n v="0"/>
    <n v="0"/>
  </r>
  <r>
    <x v="0"/>
    <s v="2025-04-21 17:17:29"/>
    <n v="1"/>
    <x v="1"/>
    <x v="1"/>
    <x v="0"/>
    <n v="0"/>
    <n v="0"/>
    <s v="Bank Agency counters simulationAll Entities.OtherCostOther CostSystem"/>
    <n v="1"/>
    <n v="0"/>
    <n v="0"/>
    <n v="0.95"/>
    <n v="4E+20"/>
    <n v="0"/>
    <n v="0"/>
  </r>
  <r>
    <x v="0"/>
    <s v="2025-04-21 17:17:29"/>
    <n v="1"/>
    <x v="2"/>
    <x v="2"/>
    <x v="0"/>
    <n v="46364.610274723302"/>
    <n v="0"/>
    <s v="Bank Agency counters simulationAll Entities.TotalCostTotal CostSystem"/>
    <n v="1"/>
    <n v="46364.610274723302"/>
    <n v="0"/>
    <n v="0.95"/>
    <n v="4E+20"/>
    <n v="46364.610274723302"/>
    <n v="46364.610274723302"/>
  </r>
  <r>
    <x v="0"/>
    <s v="2025-04-21 17:17:29"/>
    <n v="1"/>
    <x v="3"/>
    <x v="3"/>
    <x v="0"/>
    <n v="0"/>
    <n v="0"/>
    <s v="Bank Agency counters simulationAll Entities.TranCostTran CostSystem"/>
    <n v="1"/>
    <n v="0"/>
    <n v="0"/>
    <n v="0.95"/>
    <n v="4E+20"/>
    <n v="0"/>
    <n v="0"/>
  </r>
  <r>
    <x v="0"/>
    <s v="2025-04-21 17:17:29"/>
    <n v="1"/>
    <x v="4"/>
    <x v="4"/>
    <x v="0"/>
    <n v="46364.610274723302"/>
    <n v="0"/>
    <s v="Bank Agency counters simulationAll Entities.VACostVA CostSystem"/>
    <n v="1"/>
    <n v="46364.610274723302"/>
    <n v="0"/>
    <n v="0.95"/>
    <n v="4E+20"/>
    <n v="46364.610274723302"/>
    <n v="46364.610274723302"/>
  </r>
  <r>
    <x v="0"/>
    <s v="2025-04-21 17:17:29"/>
    <n v="1"/>
    <x v="5"/>
    <x v="5"/>
    <x v="0"/>
    <n v="0"/>
    <n v="0"/>
    <s v="Bank Agency counters simulationAll Entities.WaitCostWait CostSystem"/>
    <n v="1"/>
    <n v="0"/>
    <n v="0"/>
    <n v="0.95"/>
    <n v="4E+20"/>
    <n v="0"/>
    <n v="0"/>
  </r>
  <r>
    <x v="0"/>
    <s v="2025-04-21 17:17:29"/>
    <n v="1"/>
    <x v="6"/>
    <x v="6"/>
    <x v="0"/>
    <n v="46364.610274723302"/>
    <n v="0"/>
    <s v="Bank Agency counters simulationAll Resources.BusyCostBusy CostSystem"/>
    <n v="1"/>
    <n v="46364.610274723302"/>
    <n v="0"/>
    <n v="0.95"/>
    <n v="4E+20"/>
    <n v="46364.610274723302"/>
    <n v="46364.610274723302"/>
  </r>
  <r>
    <x v="0"/>
    <s v="2025-04-21 17:17:29"/>
    <n v="1"/>
    <x v="7"/>
    <x v="7"/>
    <x v="0"/>
    <n v="30416.873016301"/>
    <n v="0"/>
    <s v="Bank Agency counters simulationAll Resources.IdleCostIdle CostSystem"/>
    <n v="1"/>
    <n v="30416.873016301"/>
    <n v="0"/>
    <n v="0.95"/>
    <n v="4E+20"/>
    <n v="30416.873016301"/>
    <n v="30416.873016301"/>
  </r>
  <r>
    <x v="0"/>
    <s v="2025-04-21 17:17:29"/>
    <n v="1"/>
    <x v="8"/>
    <x v="2"/>
    <x v="0"/>
    <n v="76781.483291024197"/>
    <n v="0"/>
    <s v="Bank Agency counters simulationAll Resources.TotalCostTotal CostSystem"/>
    <n v="1"/>
    <n v="76781.483291024197"/>
    <n v="0"/>
    <n v="0.95"/>
    <n v="4E+20"/>
    <n v="76781.483291024197"/>
    <n v="76781.483291024197"/>
  </r>
  <r>
    <x v="0"/>
    <s v="2025-04-21 17:17:29"/>
    <n v="1"/>
    <x v="9"/>
    <x v="8"/>
    <x v="0"/>
    <n v="0"/>
    <n v="0"/>
    <s v="Bank Agency counters simulationAll Resources.UsageCostUsage CostSystem"/>
    <n v="1"/>
    <n v="0"/>
    <n v="0"/>
    <n v="0.95"/>
    <n v="4E+20"/>
    <n v="0"/>
    <n v="0"/>
  </r>
  <r>
    <x v="0"/>
    <s v="2025-04-21 17:17:29"/>
    <n v="1"/>
    <x v="10"/>
    <x v="6"/>
    <x v="1"/>
    <n v="46364.610274723302"/>
    <n v="0"/>
    <s v="Bank Agency counters simulationCounter.BusyCostBusy CostResource"/>
    <n v="1"/>
    <n v="46364.610274723302"/>
    <n v="0"/>
    <n v="0.95"/>
    <n v="4E+20"/>
    <n v="46364.610274723302"/>
    <n v="46364.610274723302"/>
  </r>
  <r>
    <x v="0"/>
    <s v="2025-04-21 17:17:29"/>
    <n v="1"/>
    <x v="11"/>
    <x v="7"/>
    <x v="1"/>
    <n v="30416.873016301"/>
    <n v="0"/>
    <s v="Bank Agency counters simulationCounter.IdleCostIdle CostResource"/>
    <n v="1"/>
    <n v="30416.873016301"/>
    <n v="0"/>
    <n v="0.95"/>
    <n v="4E+20"/>
    <n v="30416.873016301"/>
    <n v="30416.873016301"/>
  </r>
  <r>
    <x v="0"/>
    <s v="2025-04-21 17:17:29"/>
    <n v="1"/>
    <x v="12"/>
    <x v="9"/>
    <x v="1"/>
    <n v="1427"/>
    <n v="0"/>
    <s v="Bank Agency counters simulationCounter.NumberSeizedTotal Number SeizedResource"/>
    <n v="1"/>
    <n v="1427"/>
    <n v="0"/>
    <n v="0.95"/>
    <n v="4E+20"/>
    <n v="1427"/>
    <n v="1427"/>
  </r>
  <r>
    <x v="0"/>
    <s v="2025-04-21 17:17:29"/>
    <n v="1"/>
    <x v="13"/>
    <x v="10"/>
    <x v="1"/>
    <n v="0.60394696593357899"/>
    <n v="0"/>
    <s v="Bank Agency counters simulationCounter.ScheduledUtilizationScheduled UtilizationResource"/>
    <n v="1"/>
    <n v="0.60394696593357899"/>
    <n v="0"/>
    <n v="0.95"/>
    <n v="4E+20"/>
    <n v="0.60394696593357899"/>
    <n v="0.60394696593357899"/>
  </r>
  <r>
    <x v="0"/>
    <s v="2025-04-21 17:17:29"/>
    <n v="1"/>
    <x v="14"/>
    <x v="8"/>
    <x v="1"/>
    <n v="0"/>
    <n v="0"/>
    <s v="Bank Agency counters simulationCounter.UsageCostUsage CostResource"/>
    <n v="1"/>
    <n v="0"/>
    <n v="0"/>
    <n v="0.95"/>
    <n v="4E+20"/>
    <n v="0"/>
    <n v="0"/>
  </r>
  <r>
    <x v="0"/>
    <s v="2025-04-21 17:17:29"/>
    <n v="1"/>
    <x v="15"/>
    <x v="11"/>
    <x v="2"/>
    <n v="1427"/>
    <n v="0"/>
    <s v="Bank Agency counters simulationCustomer.NumberInNumber InEntity"/>
    <n v="1"/>
    <n v="1427"/>
    <n v="0"/>
    <n v="0.95"/>
    <n v="4E+20"/>
    <n v="1427"/>
    <n v="1427"/>
  </r>
  <r>
    <x v="0"/>
    <s v="2025-04-21 17:17:29"/>
    <n v="1"/>
    <x v="16"/>
    <x v="12"/>
    <x v="2"/>
    <n v="1425"/>
    <n v="0"/>
    <s v="Bank Agency counters simulationCustomer.NumberOutNumber OutEntity"/>
    <n v="1"/>
    <n v="1425"/>
    <n v="0"/>
    <n v="0.95"/>
    <n v="4E+20"/>
    <n v="1425"/>
    <n v="1425"/>
  </r>
  <r>
    <x v="0"/>
    <s v="2025-04-21 17:17:29"/>
    <n v="1"/>
    <x v="17"/>
    <x v="12"/>
    <x v="0"/>
    <n v="1425"/>
    <n v="0"/>
    <s v="Bank Agency counters simulationSystem.NumberOutNumber OutSystem"/>
    <n v="1"/>
    <n v="1425"/>
    <n v="0"/>
    <n v="0.95"/>
    <n v="4E+20"/>
    <n v="1425"/>
    <n v="1425"/>
  </r>
  <r>
    <x v="0"/>
    <s v="2025-04-21 17:17:29"/>
    <n v="1"/>
    <x v="18"/>
    <x v="2"/>
    <x v="0"/>
    <n v="76781.483291024197"/>
    <n v="0"/>
    <s v="Bank Agency counters simulationSystem.TotalCostTotal CostSystem"/>
    <n v="1"/>
    <n v="76781.483291024197"/>
    <n v="0"/>
    <n v="0.95"/>
    <n v="4E+20"/>
    <n v="76781.483291024197"/>
    <n v="76781.48329102419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ContinuousTimePivot" cacheId="70" applyNumberFormats="0" applyBorderFormats="0" applyFontFormats="0" applyPatternFormats="0" applyAlignmentFormats="0" applyWidthHeightFormats="1" dataCaption="Values" updatedVersion="4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5">
        <item m="1" x="4"/>
        <item m="1" x="1"/>
        <item m="1" x="2"/>
        <item m="1"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19"/>
        <item m="1" x="37"/>
        <item m="1" x="50"/>
        <item m="1" x="62"/>
        <item m="1" x="75"/>
        <item m="1" x="41"/>
        <item m="1" x="73"/>
        <item m="1" x="40"/>
        <item m="1" x="5"/>
        <item m="1" x="105"/>
        <item m="1" x="96"/>
        <item m="1" x="98"/>
        <item m="1" x="66"/>
        <item m="1" x="23"/>
        <item m="1" x="107"/>
        <item m="1" x="72"/>
        <item m="1" x="24"/>
        <item m="1" x="42"/>
        <item m="1" x="85"/>
        <item m="1" x="61"/>
        <item m="1" x="16"/>
        <item m="1" x="60"/>
        <item m="1" x="89"/>
        <item m="1" x="22"/>
        <item m="1" x="31"/>
        <item m="1" x="86"/>
        <item m="1" x="84"/>
        <item m="1" x="88"/>
        <item m="1" x="115"/>
        <item m="1" x="58"/>
        <item m="1" x="87"/>
        <item m="1" x="15"/>
        <item m="1" x="117"/>
        <item m="1" x="14"/>
        <item m="1" x="47"/>
        <item m="1" x="32"/>
        <item m="1" x="113"/>
        <item m="1" x="99"/>
        <item m="1" x="18"/>
        <item m="1" x="82"/>
        <item m="1" x="91"/>
        <item m="1" x="90"/>
        <item m="1" x="33"/>
        <item m="1" x="112"/>
        <item m="1" x="64"/>
        <item m="1" x="8"/>
        <item m="1" x="95"/>
        <item m="1" x="39"/>
        <item m="1" x="104"/>
        <item m="1" x="116"/>
        <item m="1" x="126"/>
        <item m="1" x="13"/>
        <item m="1" x="30"/>
        <item m="1" x="46"/>
        <item m="1" x="63"/>
        <item m="1" x="81"/>
        <item m="1" x="57"/>
        <item m="1" x="29"/>
        <item m="1" x="77"/>
        <item m="1" x="103"/>
        <item m="1" x="17"/>
        <item m="1" x="52"/>
        <item m="1" x="120"/>
        <item m="1" x="10"/>
        <item m="1" x="124"/>
        <item m="1" x="19"/>
        <item m="1" x="4"/>
        <item m="1" x="27"/>
        <item m="1" x="11"/>
        <item m="1" x="34"/>
        <item m="1" x="20"/>
        <item m="1" x="43"/>
        <item m="1" x="28"/>
        <item m="1" x="53"/>
        <item m="1" x="35"/>
        <item m="1" x="59"/>
        <item m="1" x="44"/>
        <item m="1" x="67"/>
        <item m="1" x="93"/>
        <item m="1" x="70"/>
        <item m="1" x="48"/>
        <item m="1" x="25"/>
        <item m="1" x="6"/>
        <item m="1" x="78"/>
        <item m="1" x="97"/>
        <item m="1" x="101"/>
        <item m="1" x="108"/>
        <item m="1" x="111"/>
        <item m="1" x="106"/>
        <item m="1" x="94"/>
        <item m="1" x="71"/>
        <item m="1" x="49"/>
        <item m="1" x="79"/>
        <item m="1" x="26"/>
        <item m="1" x="80"/>
        <item m="1" x="125"/>
        <item m="1" x="121"/>
        <item m="1" x="114"/>
        <item m="1" x="83"/>
        <item m="1" x="54"/>
        <item m="1" x="102"/>
        <item m="1" x="110"/>
        <item m="1" x="122"/>
        <item m="1" x="7"/>
        <item m="1" x="21"/>
        <item m="1" x="38"/>
        <item m="1" x="56"/>
        <item m="1" x="69"/>
        <item m="1" x="36"/>
        <item m="1" x="9"/>
        <item m="1" x="74"/>
        <item m="1" x="55"/>
        <item m="1" x="65"/>
        <item m="1" x="12"/>
        <item m="1" x="123"/>
        <item m="1" x="100"/>
        <item m="1" x="51"/>
        <item m="1" x="118"/>
        <item m="1" x="76"/>
        <item m="1" x="92"/>
        <item m="1" x="109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4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FrequencyPivot" cacheId="76" applyNumberFormats="0" applyBorderFormats="0" applyFontFormats="0" applyPatternFormats="0" applyAlignmentFormats="0" applyWidthHeightFormats="1" dataCaption="Values" updatedVersion="4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8"/>
        <item m="1" x="7"/>
        <item m="1" x="5"/>
        <item x="0"/>
        <item m="1" x="1"/>
        <item m="1" x="2"/>
        <item m="1" x="3"/>
        <item m="1" x="4"/>
        <item m="1" x="6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DiscreteTimePivot" cacheId="82" applyNumberFormats="0" applyBorderFormats="0" applyFontFormats="0" applyPatternFormats="0" applyAlignmentFormats="0" applyWidthHeightFormats="1" dataCaption="Values" updatedVersion="4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5">
        <item m="1" x="4"/>
        <item m="1" x="1"/>
        <item m="1" x="2"/>
        <item m="1"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94"/>
        <item m="1" x="34"/>
        <item m="1" x="57"/>
        <item m="1" x="32"/>
        <item m="1" x="4"/>
        <item m="1" x="84"/>
        <item m="1" x="83"/>
        <item m="1" x="75"/>
        <item m="1" x="77"/>
        <item m="1" x="52"/>
        <item m="1" x="21"/>
        <item m="1" x="35"/>
        <item m="1" x="78"/>
        <item m="1" x="67"/>
        <item m="1" x="88"/>
        <item m="1" x="49"/>
        <item m="1" x="59"/>
        <item m="1" x="14"/>
        <item m="1" x="66"/>
        <item m="1" x="48"/>
        <item m="1" x="69"/>
        <item m="1" x="20"/>
        <item m="1" x="56"/>
        <item m="1" x="26"/>
        <item m="1" x="47"/>
        <item m="1" x="68"/>
        <item m="1" x="13"/>
        <item m="1" x="93"/>
        <item m="1" x="12"/>
        <item m="1" x="39"/>
        <item m="1" x="27"/>
        <item m="1" x="90"/>
        <item m="1" x="16"/>
        <item m="1" x="64"/>
        <item m="1" x="71"/>
        <item m="1" x="70"/>
        <item m="1" x="89"/>
        <item m="1" x="51"/>
        <item m="1" x="7"/>
        <item m="1" x="74"/>
        <item m="1" x="31"/>
        <item m="1" x="82"/>
        <item m="1" x="92"/>
        <item m="1" x="100"/>
        <item m="1" x="11"/>
        <item m="1" x="38"/>
        <item m="1" x="50"/>
        <item m="1" x="63"/>
        <item m="1" x="46"/>
        <item m="1" x="25"/>
        <item m="1" x="58"/>
        <item m="1" x="81"/>
        <item m="1" x="15"/>
        <item m="1" x="42"/>
        <item m="1" x="95"/>
        <item m="1" x="9"/>
        <item m="1" x="98"/>
        <item m="1" x="17"/>
        <item m="1" x="3"/>
        <item m="1" x="23"/>
        <item m="1" x="10"/>
        <item m="1" x="28"/>
        <item m="1" x="18"/>
        <item m="1" x="36"/>
        <item m="1" x="24"/>
        <item m="1" x="43"/>
        <item m="1" x="37"/>
        <item m="1" x="53"/>
        <item m="1" x="72"/>
        <item m="1" x="40"/>
        <item m="1" x="22"/>
        <item m="1" x="5"/>
        <item m="1" x="60"/>
        <item m="1" x="76"/>
        <item m="1" x="79"/>
        <item m="1" x="87"/>
        <item m="1" x="85"/>
        <item m="1" x="73"/>
        <item m="1" x="55"/>
        <item m="1" x="41"/>
        <item m="1" x="61"/>
        <item m="1" x="62"/>
        <item m="1" x="99"/>
        <item m="1" x="96"/>
        <item m="1" x="91"/>
        <item m="1" x="65"/>
        <item m="1" x="44"/>
        <item m="1" x="80"/>
        <item m="1" x="33"/>
        <item m="1" x="86"/>
        <item m="1" x="97"/>
        <item m="1" x="6"/>
        <item m="1" x="19"/>
        <item m="1" x="30"/>
        <item m="1" x="45"/>
        <item m="1" x="54"/>
        <item m="1" x="29"/>
        <item m="1" x="8"/>
        <item m="1" x="2"/>
        <item x="0"/>
        <item x="1"/>
      </items>
    </pivotField>
    <pivotField axis="axisRow" compact="0" outline="0" showAll="0" defaultSubtotal="0">
      <items count="19">
        <item m="1" x="17"/>
        <item x="3"/>
        <item x="5"/>
        <item x="7"/>
        <item x="9"/>
        <item x="11"/>
        <item x="13"/>
        <item x="1"/>
        <item m="1" x="18"/>
        <item m="1" x="16"/>
        <item m="1" x="15"/>
        <item m="1" x="14"/>
        <item x="0"/>
        <item x="2"/>
        <item x="4"/>
        <item x="6"/>
        <item x="8"/>
        <item x="10"/>
        <item x="12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4"/>
      <x v="99"/>
      <x v="7"/>
      <x v="1"/>
    </i>
    <i r="2">
      <x v="12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3"/>
      <x/>
    </i>
    <i r="2">
      <x v="14"/>
      <x/>
    </i>
    <i r="2">
      <x v="15"/>
      <x/>
    </i>
    <i r="2">
      <x v="16"/>
      <x/>
    </i>
    <i r="2">
      <x v="17"/>
      <x/>
    </i>
    <i r="2">
      <x v="18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OutputPivot" cacheId="88" applyNumberFormats="0" applyBorderFormats="0" applyFontFormats="0" applyPatternFormats="0" applyAlignmentFormats="0" applyWidthHeightFormats="1" dataCaption="Values" updatedVersion="4" minRefreshableVersion="3" showDataTips="0" useAutoFormatting="1" rowGrandTotals="0" colGrandTotals="0" itemPrintTitles="1" createdVersion="7" indent="0" compact="0" compactData="0" multipleFieldFilters="0">
  <location ref="AK2:AS21" firstHeaderRow="0" firstDataRow="1" firstDataCol="4"/>
  <pivotFields count="16">
    <pivotField name="Project Name" axis="axisRow" compact="0" outline="0" subtotalTop="0" showAll="0" defaultSubtotal="0">
      <items count="5">
        <item m="1" x="4"/>
        <item m="1" x="1"/>
        <item m="1" x="2"/>
        <item m="1"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7">
        <item m="1" x="46"/>
        <item m="1" x="20"/>
        <item m="1" x="47"/>
        <item m="1" x="21"/>
        <item m="1" x="48"/>
        <item m="1" x="22"/>
        <item m="1" x="49"/>
        <item m="1" x="23"/>
        <item m="1" x="80"/>
        <item m="1" x="31"/>
        <item x="17"/>
        <item m="1" x="40"/>
        <item m="1" x="30"/>
        <item m="1" x="44"/>
        <item m="1" x="34"/>
        <item m="1" x="81"/>
        <item m="1" x="90"/>
        <item m="1" x="64"/>
        <item m="1" x="28"/>
        <item m="1" x="82"/>
        <item m="1" x="72"/>
        <item m="1" x="71"/>
        <item m="1" x="29"/>
        <item m="1" x="42"/>
        <item m="1" x="38"/>
        <item m="1" x="43"/>
        <item m="1" x="39"/>
        <item m="1" x="95"/>
        <item m="1" x="33"/>
        <item m="1" x="92"/>
        <item m="1" x="78"/>
        <item m="1" x="56"/>
        <item m="1" x="61"/>
        <item m="1" x="65"/>
        <item m="1" x="59"/>
        <item m="1" x="57"/>
        <item m="1" x="62"/>
        <item m="1" x="66"/>
        <item m="1" x="60"/>
        <item m="1" x="93"/>
        <item m="1" x="70"/>
        <item m="1" x="96"/>
        <item m="1" x="91"/>
        <item m="1" x="26"/>
        <item m="1" x="85"/>
        <item m="1" x="27"/>
        <item m="1" x="86"/>
        <item m="1" x="79"/>
        <item m="1" x="68"/>
        <item m="1" x="69"/>
        <item m="1" x="37"/>
        <item m="1" x="41"/>
        <item m="1" x="88"/>
        <item m="1" x="36"/>
        <item m="1" x="35"/>
        <item m="1" x="84"/>
        <item m="1" x="89"/>
        <item m="1" x="24"/>
        <item m="1" x="45"/>
        <item m="1" x="58"/>
        <item m="1" x="83"/>
        <item m="1" x="94"/>
        <item m="1" x="25"/>
        <item m="1" x="55"/>
        <item m="1" x="63"/>
        <item m="1" x="87"/>
        <item m="1" x="67"/>
        <item m="1" x="32"/>
        <item m="1" x="50"/>
        <item m="1" x="73"/>
        <item m="1" x="51"/>
        <item m="1" x="74"/>
        <item m="1" x="52"/>
        <item m="1" x="75"/>
        <item m="1" x="53"/>
        <item m="1" x="76"/>
        <item m="1" x="54"/>
        <item m="1" x="77"/>
        <item m="1"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</items>
    </pivotField>
    <pivotField axis="axisRow" compact="0" outline="0" showAll="0" defaultSubtotal="0">
      <items count="16">
        <item x="11"/>
        <item x="12"/>
        <item x="10"/>
        <item x="9"/>
        <item m="1" x="14"/>
        <item m="1" x="15"/>
        <item m="1" x="13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9">
    <i>
      <x v="4"/>
      <x v="10"/>
      <x v="1"/>
      <x v="2"/>
    </i>
    <i r="1">
      <x v="79"/>
      <x v="7"/>
      <x v="2"/>
    </i>
    <i r="1">
      <x v="80"/>
      <x v="8"/>
      <x v="2"/>
    </i>
    <i r="1">
      <x v="81"/>
      <x v="9"/>
      <x v="2"/>
    </i>
    <i r="1">
      <x v="82"/>
      <x v="10"/>
      <x v="2"/>
    </i>
    <i r="1">
      <x v="83"/>
      <x v="11"/>
      <x v="2"/>
    </i>
    <i r="1">
      <x v="84"/>
      <x v="12"/>
      <x v="2"/>
    </i>
    <i r="1">
      <x v="85"/>
      <x v="13"/>
      <x v="2"/>
    </i>
    <i r="1">
      <x v="86"/>
      <x v="14"/>
      <x v="2"/>
    </i>
    <i r="1">
      <x v="87"/>
      <x v="9"/>
      <x v="2"/>
    </i>
    <i r="1">
      <x v="88"/>
      <x v="15"/>
      <x v="2"/>
    </i>
    <i r="1">
      <x v="89"/>
      <x v="13"/>
      <x v="1"/>
    </i>
    <i r="1">
      <x v="90"/>
      <x v="14"/>
      <x v="1"/>
    </i>
    <i r="1">
      <x v="91"/>
      <x v="3"/>
      <x v="1"/>
    </i>
    <i r="1">
      <x v="92"/>
      <x v="2"/>
      <x v="1"/>
    </i>
    <i r="1">
      <x v="93"/>
      <x v="15"/>
      <x v="1"/>
    </i>
    <i r="1">
      <x v="94"/>
      <x/>
      <x/>
    </i>
    <i r="1">
      <x v="95"/>
      <x v="1"/>
      <x/>
    </i>
    <i r="1">
      <x v="96"/>
      <x v="9"/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CounterPivot" cacheId="94" applyNumberFormats="0" applyBorderFormats="0" applyFontFormats="0" applyPatternFormats="0" applyAlignmentFormats="0" applyWidthHeightFormats="1" dataCaption="Values" updatedVersion="4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1"/>
        <item m="1" x="3"/>
        <item m="1" x="2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15" tableType="queryTable" totalsRowShown="0">
  <autoFilter ref="A1:Y15"/>
  <sortState ref="A2:Y15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6" tableType="queryTable" totalsRowShown="0">
  <autoFilter ref="A1:U6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20" tableType="queryTable" totalsRowShown="0">
  <autoFilter ref="A1:P20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38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D2" sqref="D2"/>
    </sheetView>
  </sheetViews>
  <sheetFormatPr baseColWidth="10" defaultColWidth="8.88671875" defaultRowHeight="14.4" x14ac:dyDescent="0.3"/>
  <cols>
    <col min="1" max="1" width="28" bestFit="1" customWidth="1"/>
    <col min="2" max="2" width="80.886718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67</v>
      </c>
      <c r="B2" t="s">
        <v>68</v>
      </c>
      <c r="C2" t="s">
        <v>69</v>
      </c>
      <c r="D2">
        <v>2</v>
      </c>
      <c r="E2">
        <v>1</v>
      </c>
      <c r="F2">
        <v>9600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21"/>
  <sheetViews>
    <sheetView tabSelected="1" workbookViewId="0"/>
  </sheetViews>
  <sheetFormatPr baseColWidth="10" defaultColWidth="8.88671875"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5546875" customWidth="1"/>
    <col min="6" max="6" width="19.44140625" customWidth="1"/>
    <col min="7" max="7" width="12" bestFit="1" customWidth="1"/>
    <col min="8" max="8" width="26.5546875" customWidth="1"/>
    <col min="9" max="9" width="26.6640625" customWidth="1"/>
    <col min="10" max="10" width="27" customWidth="1"/>
    <col min="11" max="11" width="15.88671875" customWidth="1"/>
    <col min="12" max="12" width="16.33203125" bestFit="1" customWidth="1"/>
    <col min="13" max="13" width="29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5546875" customWidth="1"/>
    <col min="20" max="20" width="12" bestFit="1" customWidth="1"/>
    <col min="21" max="21" width="26.5546875" customWidth="1"/>
    <col min="22" max="22" width="21.6640625" customWidth="1"/>
    <col min="23" max="23" width="22" customWidth="1"/>
    <col min="24" max="24" width="15.88671875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5546875" customWidth="1"/>
    <col min="32" max="32" width="10.109375" bestFit="1" customWidth="1"/>
    <col min="33" max="33" width="29" customWidth="1"/>
    <col min="34" max="34" width="19.44140625" customWidth="1"/>
    <col min="35" max="35" width="19.77734375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customWidth="1"/>
    <col min="42" max="42" width="10.109375" bestFit="1" customWidth="1"/>
    <col min="43" max="43" width="29" customWidth="1"/>
    <col min="44" max="44" width="19.44140625" customWidth="1"/>
    <col min="45" max="45" width="19.77734375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109375" customWidth="1"/>
    <col min="52" max="52" width="26.88671875" customWidth="1"/>
    <col min="53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67</v>
      </c>
      <c r="B3" t="s">
        <v>70</v>
      </c>
      <c r="C3" t="s">
        <v>73</v>
      </c>
      <c r="D3" t="s">
        <v>72</v>
      </c>
      <c r="E3" s="5">
        <v>1.9935927677560401</v>
      </c>
      <c r="F3" s="5">
        <v>1</v>
      </c>
      <c r="G3" s="5">
        <v>0.94312742317579301</v>
      </c>
      <c r="H3" s="5">
        <v>0</v>
      </c>
      <c r="I3" s="5">
        <v>1.9935927677560401</v>
      </c>
      <c r="J3" s="5">
        <v>1.9935927677560401</v>
      </c>
      <c r="K3" s="5">
        <v>0</v>
      </c>
      <c r="L3" s="5">
        <v>36.146016707033098</v>
      </c>
      <c r="M3" s="5">
        <v>1427</v>
      </c>
      <c r="O3" t="s">
        <v>67</v>
      </c>
      <c r="P3" t="s">
        <v>88</v>
      </c>
      <c r="Q3" t="s">
        <v>89</v>
      </c>
      <c r="R3" t="s">
        <v>90</v>
      </c>
      <c r="S3" s="5">
        <v>0.60394696593357899</v>
      </c>
      <c r="T3" s="5">
        <v>4.2797035815414199E-2</v>
      </c>
      <c r="U3" s="5">
        <v>0</v>
      </c>
      <c r="V3" s="5">
        <v>0.60394696593357899</v>
      </c>
      <c r="W3" s="5">
        <v>0.60394696593357899</v>
      </c>
      <c r="X3" s="5">
        <v>0</v>
      </c>
      <c r="Y3" s="5">
        <v>1</v>
      </c>
      <c r="AA3" t="s">
        <v>123</v>
      </c>
      <c r="AB3" t="s">
        <v>123</v>
      </c>
      <c r="AC3" t="s">
        <v>123</v>
      </c>
      <c r="AD3" t="s">
        <v>123</v>
      </c>
      <c r="AE3" s="5"/>
      <c r="AF3" s="5"/>
      <c r="AG3" s="5"/>
      <c r="AH3" s="5"/>
      <c r="AI3" s="5"/>
      <c r="AK3" t="s">
        <v>67</v>
      </c>
      <c r="AL3" t="s">
        <v>121</v>
      </c>
      <c r="AM3" t="s">
        <v>120</v>
      </c>
      <c r="AN3" t="s">
        <v>96</v>
      </c>
      <c r="AO3" s="5">
        <v>1425</v>
      </c>
      <c r="AP3" s="5">
        <v>4E+20</v>
      </c>
      <c r="AQ3" s="5">
        <v>0</v>
      </c>
      <c r="AR3" s="5">
        <v>1425</v>
      </c>
      <c r="AS3" s="5">
        <v>1425</v>
      </c>
      <c r="AU3" t="s">
        <v>123</v>
      </c>
      <c r="AV3" t="s">
        <v>123</v>
      </c>
      <c r="AW3" t="s">
        <v>123</v>
      </c>
      <c r="AX3" t="s">
        <v>123</v>
      </c>
      <c r="AY3" s="4"/>
      <c r="AZ3" s="4"/>
    </row>
    <row r="4" spans="1:52" x14ac:dyDescent="0.3">
      <c r="C4" t="s">
        <v>71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1427</v>
      </c>
      <c r="Q4" t="s">
        <v>91</v>
      </c>
      <c r="R4" t="s">
        <v>90</v>
      </c>
      <c r="S4" s="5">
        <v>2.41578786373432</v>
      </c>
      <c r="T4" s="5">
        <v>0.17118814326165699</v>
      </c>
      <c r="U4" s="5">
        <v>0</v>
      </c>
      <c r="V4" s="5">
        <v>2.41578786373432</v>
      </c>
      <c r="W4" s="5">
        <v>2.41578786373432</v>
      </c>
      <c r="X4" s="5">
        <v>0</v>
      </c>
      <c r="Y4" s="5">
        <v>4</v>
      </c>
      <c r="AL4" t="s">
        <v>95</v>
      </c>
      <c r="AM4" t="s">
        <v>75</v>
      </c>
      <c r="AN4" t="s">
        <v>96</v>
      </c>
      <c r="AO4" s="5">
        <v>0</v>
      </c>
      <c r="AP4" s="5">
        <v>4E+20</v>
      </c>
      <c r="AQ4" s="5">
        <v>0</v>
      </c>
      <c r="AR4" s="5">
        <v>0</v>
      </c>
      <c r="AS4" s="5">
        <v>0</v>
      </c>
    </row>
    <row r="5" spans="1:52" x14ac:dyDescent="0.3">
      <c r="B5" t="s">
        <v>74</v>
      </c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1425</v>
      </c>
      <c r="Q5" t="s">
        <v>92</v>
      </c>
      <c r="R5" t="s">
        <v>90</v>
      </c>
      <c r="S5" s="5">
        <v>4</v>
      </c>
      <c r="T5" s="5">
        <v>2E+20</v>
      </c>
      <c r="U5" s="5">
        <v>0</v>
      </c>
      <c r="V5" s="5">
        <v>4</v>
      </c>
      <c r="W5" s="5">
        <v>4</v>
      </c>
      <c r="X5" s="5">
        <v>4</v>
      </c>
      <c r="Y5" s="5">
        <v>4</v>
      </c>
      <c r="AL5" t="s">
        <v>97</v>
      </c>
      <c r="AM5" t="s">
        <v>78</v>
      </c>
      <c r="AN5" t="s">
        <v>96</v>
      </c>
      <c r="AO5" s="5">
        <v>0</v>
      </c>
      <c r="AP5" s="5">
        <v>4E+20</v>
      </c>
      <c r="AQ5" s="5">
        <v>0</v>
      </c>
      <c r="AR5" s="5">
        <v>0</v>
      </c>
      <c r="AS5" s="5">
        <v>0</v>
      </c>
    </row>
    <row r="6" spans="1:52" x14ac:dyDescent="0.3">
      <c r="C6" t="s">
        <v>79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1425</v>
      </c>
      <c r="P6" t="s">
        <v>70</v>
      </c>
      <c r="Q6" t="s">
        <v>93</v>
      </c>
      <c r="R6" t="s">
        <v>72</v>
      </c>
      <c r="S6" s="5">
        <v>0.29633925829040397</v>
      </c>
      <c r="T6" s="5">
        <v>0.160930803131032</v>
      </c>
      <c r="U6" s="5">
        <v>0</v>
      </c>
      <c r="V6" s="5">
        <v>0.29633925829040397</v>
      </c>
      <c r="W6" s="5">
        <v>0.29633925829040397</v>
      </c>
      <c r="X6" s="5">
        <v>0</v>
      </c>
      <c r="Y6" s="5">
        <v>9</v>
      </c>
      <c r="AL6" t="s">
        <v>98</v>
      </c>
      <c r="AM6" t="s">
        <v>80</v>
      </c>
      <c r="AN6" t="s">
        <v>96</v>
      </c>
      <c r="AO6" s="5">
        <v>46364.610274723302</v>
      </c>
      <c r="AP6" s="5">
        <v>4E+20</v>
      </c>
      <c r="AQ6" s="5">
        <v>0</v>
      </c>
      <c r="AR6" s="5">
        <v>46364.610274723302</v>
      </c>
      <c r="AS6" s="5">
        <v>46364.610274723302</v>
      </c>
    </row>
    <row r="7" spans="1:52" x14ac:dyDescent="0.3">
      <c r="C7" t="s">
        <v>81</v>
      </c>
      <c r="D7" t="s">
        <v>76</v>
      </c>
      <c r="E7" s="5">
        <v>18.264675099613701</v>
      </c>
      <c r="F7" s="5">
        <v>1</v>
      </c>
      <c r="G7" s="5">
        <v>1.5028085220151901</v>
      </c>
      <c r="H7" s="5">
        <v>0</v>
      </c>
      <c r="I7" s="5">
        <v>18.264675099613701</v>
      </c>
      <c r="J7" s="5">
        <v>18.264675099613701</v>
      </c>
      <c r="K7" s="5">
        <v>9.3733407750678506</v>
      </c>
      <c r="L7" s="5">
        <v>78.961710183541996</v>
      </c>
      <c r="M7" s="5">
        <v>1425</v>
      </c>
      <c r="P7" t="s">
        <v>74</v>
      </c>
      <c r="Q7" t="s">
        <v>94</v>
      </c>
      <c r="R7" t="s">
        <v>76</v>
      </c>
      <c r="S7" s="5">
        <v>2.7121271220247301</v>
      </c>
      <c r="T7" s="5">
        <v>0.31301629707034501</v>
      </c>
      <c r="U7" s="5">
        <v>0</v>
      </c>
      <c r="V7" s="5">
        <v>2.7121271220247301</v>
      </c>
      <c r="W7" s="5">
        <v>2.7121271220247301</v>
      </c>
      <c r="X7" s="5">
        <v>0</v>
      </c>
      <c r="Y7" s="5">
        <v>13</v>
      </c>
      <c r="AL7" t="s">
        <v>99</v>
      </c>
      <c r="AM7" t="s">
        <v>100</v>
      </c>
      <c r="AN7" t="s">
        <v>96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3">
      <c r="C8" t="s">
        <v>83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1425</v>
      </c>
      <c r="AL8" t="s">
        <v>101</v>
      </c>
      <c r="AM8" t="s">
        <v>84</v>
      </c>
      <c r="AN8" t="s">
        <v>96</v>
      </c>
      <c r="AO8" s="5">
        <v>46364.610274723302</v>
      </c>
      <c r="AP8" s="5">
        <v>4E+20</v>
      </c>
      <c r="AQ8" s="5">
        <v>0</v>
      </c>
      <c r="AR8" s="5">
        <v>46364.610274723302</v>
      </c>
      <c r="AS8" s="5">
        <v>46364.610274723302</v>
      </c>
    </row>
    <row r="9" spans="1:52" x14ac:dyDescent="0.3">
      <c r="C9" t="s">
        <v>85</v>
      </c>
      <c r="D9" t="s">
        <v>76</v>
      </c>
      <c r="E9" s="5">
        <v>16.268284306920499</v>
      </c>
      <c r="F9" s="5">
        <v>1</v>
      </c>
      <c r="G9" s="5">
        <v>0.87321774495933602</v>
      </c>
      <c r="H9" s="5">
        <v>0</v>
      </c>
      <c r="I9" s="5">
        <v>16.268284306920499</v>
      </c>
      <c r="J9" s="5">
        <v>16.268284306920499</v>
      </c>
      <c r="K9" s="5">
        <v>9.3733407750678506</v>
      </c>
      <c r="L9" s="5">
        <v>52.365101091695401</v>
      </c>
      <c r="M9" s="5">
        <v>1425</v>
      </c>
      <c r="AL9" t="s">
        <v>102</v>
      </c>
      <c r="AM9" t="s">
        <v>86</v>
      </c>
      <c r="AN9" t="s">
        <v>96</v>
      </c>
      <c r="AO9" s="5">
        <v>0</v>
      </c>
      <c r="AP9" s="5">
        <v>4E+20</v>
      </c>
      <c r="AQ9" s="5">
        <v>0</v>
      </c>
      <c r="AR9" s="5">
        <v>0</v>
      </c>
      <c r="AS9" s="5">
        <v>0</v>
      </c>
    </row>
    <row r="10" spans="1:52" x14ac:dyDescent="0.3">
      <c r="C10" t="s">
        <v>87</v>
      </c>
      <c r="D10" t="s">
        <v>76</v>
      </c>
      <c r="E10" s="5">
        <v>1.99639079269325</v>
      </c>
      <c r="F10" s="5">
        <v>1</v>
      </c>
      <c r="G10" s="5">
        <v>0.92964375033963298</v>
      </c>
      <c r="H10" s="5">
        <v>0</v>
      </c>
      <c r="I10" s="5">
        <v>1.99639079269325</v>
      </c>
      <c r="J10" s="5">
        <v>1.99639079269325</v>
      </c>
      <c r="K10" s="5">
        <v>0</v>
      </c>
      <c r="L10" s="5">
        <v>36.146016707033098</v>
      </c>
      <c r="M10" s="5">
        <v>1425</v>
      </c>
      <c r="AL10" t="s">
        <v>103</v>
      </c>
      <c r="AM10" t="s">
        <v>104</v>
      </c>
      <c r="AN10" t="s">
        <v>96</v>
      </c>
      <c r="AO10" s="5">
        <v>46364.610274723302</v>
      </c>
      <c r="AP10" s="5">
        <v>4E+20</v>
      </c>
      <c r="AQ10" s="5">
        <v>0</v>
      </c>
      <c r="AR10" s="5">
        <v>46364.610274723302</v>
      </c>
      <c r="AS10" s="5">
        <v>46364.610274723302</v>
      </c>
    </row>
    <row r="11" spans="1:52" x14ac:dyDescent="0.3">
      <c r="C11" t="s">
        <v>75</v>
      </c>
      <c r="D11" t="s">
        <v>76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1425</v>
      </c>
      <c r="AL11" t="s">
        <v>105</v>
      </c>
      <c r="AM11" t="s">
        <v>106</v>
      </c>
      <c r="AN11" t="s">
        <v>96</v>
      </c>
      <c r="AO11" s="5">
        <v>30416.873016301</v>
      </c>
      <c r="AP11" s="5">
        <v>4E+20</v>
      </c>
      <c r="AQ11" s="5">
        <v>0</v>
      </c>
      <c r="AR11" s="5">
        <v>30416.873016301</v>
      </c>
      <c r="AS11" s="5">
        <v>30416.873016301</v>
      </c>
    </row>
    <row r="12" spans="1:52" x14ac:dyDescent="0.3">
      <c r="C12" t="s">
        <v>78</v>
      </c>
      <c r="D12" t="s">
        <v>76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1425</v>
      </c>
      <c r="AL12" t="s">
        <v>107</v>
      </c>
      <c r="AM12" t="s">
        <v>80</v>
      </c>
      <c r="AN12" t="s">
        <v>96</v>
      </c>
      <c r="AO12" s="5">
        <v>76781.483291024197</v>
      </c>
      <c r="AP12" s="5">
        <v>4E+20</v>
      </c>
      <c r="AQ12" s="5">
        <v>0</v>
      </c>
      <c r="AR12" s="5">
        <v>76781.483291024197</v>
      </c>
      <c r="AS12" s="5">
        <v>76781.483291024197</v>
      </c>
    </row>
    <row r="13" spans="1:52" x14ac:dyDescent="0.3">
      <c r="C13" t="s">
        <v>80</v>
      </c>
      <c r="D13" t="s">
        <v>76</v>
      </c>
      <c r="E13" s="5">
        <v>32.536568613840998</v>
      </c>
      <c r="F13" s="5">
        <v>1</v>
      </c>
      <c r="G13" s="5">
        <v>1.74643548991867</v>
      </c>
      <c r="H13" s="5">
        <v>0</v>
      </c>
      <c r="I13" s="5">
        <v>32.536568613840998</v>
      </c>
      <c r="J13" s="5">
        <v>32.536568613840998</v>
      </c>
      <c r="K13" s="5">
        <v>18.746681550135701</v>
      </c>
      <c r="L13" s="5">
        <v>104.730202183391</v>
      </c>
      <c r="M13" s="5">
        <v>1425</v>
      </c>
      <c r="AL13" t="s">
        <v>108</v>
      </c>
      <c r="AM13" t="s">
        <v>109</v>
      </c>
      <c r="AN13" t="s">
        <v>96</v>
      </c>
      <c r="AO13" s="5">
        <v>0</v>
      </c>
      <c r="AP13" s="5">
        <v>4E+20</v>
      </c>
      <c r="AQ13" s="5">
        <v>0</v>
      </c>
      <c r="AR13" s="5">
        <v>0</v>
      </c>
      <c r="AS13" s="5">
        <v>0</v>
      </c>
    </row>
    <row r="14" spans="1:52" x14ac:dyDescent="0.3">
      <c r="C14" t="s">
        <v>82</v>
      </c>
      <c r="D14" t="s">
        <v>76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1425</v>
      </c>
      <c r="AL14" t="s">
        <v>110</v>
      </c>
      <c r="AM14" t="s">
        <v>104</v>
      </c>
      <c r="AN14" t="s">
        <v>90</v>
      </c>
      <c r="AO14" s="5">
        <v>46364.610274723302</v>
      </c>
      <c r="AP14" s="5">
        <v>4E+20</v>
      </c>
      <c r="AQ14" s="5">
        <v>0</v>
      </c>
      <c r="AR14" s="5">
        <v>46364.610274723302</v>
      </c>
      <c r="AS14" s="5">
        <v>46364.610274723302</v>
      </c>
    </row>
    <row r="15" spans="1:52" x14ac:dyDescent="0.3">
      <c r="C15" t="s">
        <v>84</v>
      </c>
      <c r="D15" t="s">
        <v>76</v>
      </c>
      <c r="E15" s="5">
        <v>32.536568613840998</v>
      </c>
      <c r="F15" s="5">
        <v>1</v>
      </c>
      <c r="G15" s="5">
        <v>1.74643548991867</v>
      </c>
      <c r="H15" s="5">
        <v>0</v>
      </c>
      <c r="I15" s="5">
        <v>32.536568613840998</v>
      </c>
      <c r="J15" s="5">
        <v>32.536568613840998</v>
      </c>
      <c r="K15" s="5">
        <v>18.746681550135701</v>
      </c>
      <c r="L15" s="5">
        <v>104.730202183391</v>
      </c>
      <c r="M15" s="5">
        <v>1425</v>
      </c>
      <c r="AL15" t="s">
        <v>111</v>
      </c>
      <c r="AM15" t="s">
        <v>106</v>
      </c>
      <c r="AN15" t="s">
        <v>90</v>
      </c>
      <c r="AO15" s="5">
        <v>30416.873016301</v>
      </c>
      <c r="AP15" s="5">
        <v>4E+20</v>
      </c>
      <c r="AQ15" s="5">
        <v>0</v>
      </c>
      <c r="AR15" s="5">
        <v>30416.873016301</v>
      </c>
      <c r="AS15" s="5">
        <v>30416.873016301</v>
      </c>
    </row>
    <row r="16" spans="1:52" x14ac:dyDescent="0.3">
      <c r="C16" t="s">
        <v>86</v>
      </c>
      <c r="D16" t="s">
        <v>76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1425</v>
      </c>
      <c r="AL16" t="s">
        <v>112</v>
      </c>
      <c r="AM16" t="s">
        <v>113</v>
      </c>
      <c r="AN16" t="s">
        <v>90</v>
      </c>
      <c r="AO16" s="5">
        <v>1427</v>
      </c>
      <c r="AP16" s="5">
        <v>4E+20</v>
      </c>
      <c r="AQ16" s="5">
        <v>0</v>
      </c>
      <c r="AR16" s="5">
        <v>1427</v>
      </c>
      <c r="AS16" s="5">
        <v>1427</v>
      </c>
    </row>
    <row r="17" spans="38:45" x14ac:dyDescent="0.3">
      <c r="AL17" t="s">
        <v>114</v>
      </c>
      <c r="AM17" t="s">
        <v>115</v>
      </c>
      <c r="AN17" t="s">
        <v>90</v>
      </c>
      <c r="AO17" s="5">
        <v>0.60394696593357899</v>
      </c>
      <c r="AP17" s="5">
        <v>4E+20</v>
      </c>
      <c r="AQ17" s="5">
        <v>0</v>
      </c>
      <c r="AR17" s="5">
        <v>0.60394696593357899</v>
      </c>
      <c r="AS17" s="5">
        <v>0.60394696593357899</v>
      </c>
    </row>
    <row r="18" spans="38:45" x14ac:dyDescent="0.3">
      <c r="AL18" t="s">
        <v>116</v>
      </c>
      <c r="AM18" t="s">
        <v>109</v>
      </c>
      <c r="AN18" t="s">
        <v>90</v>
      </c>
      <c r="AO18" s="5">
        <v>0</v>
      </c>
      <c r="AP18" s="5">
        <v>4E+20</v>
      </c>
      <c r="AQ18" s="5">
        <v>0</v>
      </c>
      <c r="AR18" s="5">
        <v>0</v>
      </c>
      <c r="AS18" s="5">
        <v>0</v>
      </c>
    </row>
    <row r="19" spans="38:45" x14ac:dyDescent="0.3">
      <c r="AL19" t="s">
        <v>117</v>
      </c>
      <c r="AM19" t="s">
        <v>118</v>
      </c>
      <c r="AN19" t="s">
        <v>76</v>
      </c>
      <c r="AO19" s="5">
        <v>1427</v>
      </c>
      <c r="AP19" s="5">
        <v>4E+20</v>
      </c>
      <c r="AQ19" s="5">
        <v>0</v>
      </c>
      <c r="AR19" s="5">
        <v>1427</v>
      </c>
      <c r="AS19" s="5">
        <v>1427</v>
      </c>
    </row>
    <row r="20" spans="38:45" x14ac:dyDescent="0.3">
      <c r="AL20" t="s">
        <v>119</v>
      </c>
      <c r="AM20" t="s">
        <v>120</v>
      </c>
      <c r="AN20" t="s">
        <v>76</v>
      </c>
      <c r="AO20" s="5">
        <v>1425</v>
      </c>
      <c r="AP20" s="5">
        <v>4E+20</v>
      </c>
      <c r="AQ20" s="5">
        <v>0</v>
      </c>
      <c r="AR20" s="5">
        <v>1425</v>
      </c>
      <c r="AS20" s="5">
        <v>1425</v>
      </c>
    </row>
    <row r="21" spans="38:45" x14ac:dyDescent="0.3">
      <c r="AL21" t="s">
        <v>122</v>
      </c>
      <c r="AM21" t="s">
        <v>80</v>
      </c>
      <c r="AN21" t="s">
        <v>96</v>
      </c>
      <c r="AO21" s="5">
        <v>76781.483291024197</v>
      </c>
      <c r="AP21" s="5">
        <v>4E+20</v>
      </c>
      <c r="AQ21" s="5">
        <v>0</v>
      </c>
      <c r="AR21" s="5">
        <v>76781.483291024197</v>
      </c>
      <c r="AS21" s="5">
        <v>76781.483291024197</v>
      </c>
    </row>
  </sheetData>
  <dataConsolidate/>
  <conditionalFormatting pivot="1" sqref="G3:G16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16">
    <cfRule type="expression" dxfId="28" priority="11">
      <formula>G3=300000000000000000000</formula>
    </cfRule>
  </conditionalFormatting>
  <conditionalFormatting pivot="1" sqref="F3:F16">
    <cfRule type="expression" dxfId="27" priority="10">
      <formula>F3=0</formula>
    </cfRule>
  </conditionalFormatting>
  <conditionalFormatting pivot="1" sqref="F3:F16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21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5"/>
  <sheetViews>
    <sheetView workbookViewId="0">
      <selection activeCell="A2" sqref="A2:K61"/>
    </sheetView>
  </sheetViews>
  <sheetFormatPr baseColWidth="10" defaultColWidth="8.88671875" defaultRowHeight="14.4" x14ac:dyDescent="0.3"/>
  <cols>
    <col min="1" max="1" width="28" bestFit="1" customWidth="1"/>
    <col min="2" max="2" width="21.109375" customWidth="1"/>
    <col min="3" max="3" width="12.5546875" bestFit="1" customWidth="1"/>
    <col min="4" max="4" width="19.33203125" bestFit="1" customWidth="1"/>
    <col min="5" max="5" width="12.21875" customWidth="1"/>
    <col min="6" max="6" width="9" bestFit="1" customWidth="1"/>
    <col min="7" max="7" width="12" bestFit="1" customWidth="1"/>
    <col min="8" max="8" width="22.21875" customWidth="1"/>
    <col min="9" max="10" width="12" bestFit="1" customWidth="1"/>
    <col min="11" max="11" width="21.21875" customWidth="1"/>
    <col min="12" max="12" width="63" bestFit="1" customWidth="1"/>
    <col min="13" max="13" width="16.109375" customWidth="1"/>
    <col min="14" max="14" width="19.109375" customWidth="1"/>
    <col min="15" max="15" width="17" customWidth="1"/>
    <col min="16" max="16" width="19.33203125" customWidth="1"/>
    <col min="17" max="17" width="11.6640625" bestFit="1" customWidth="1"/>
    <col min="18" max="18" width="18.44140625" bestFit="1" customWidth="1"/>
    <col min="19" max="19" width="18.77734375" customWidth="1"/>
    <col min="20" max="20" width="17.33203125" customWidth="1"/>
    <col min="21" max="21" width="17.6640625" customWidth="1"/>
    <col min="22" max="22" width="28.21875" customWidth="1"/>
    <col min="23" max="23" width="19.88671875" customWidth="1"/>
    <col min="24" max="24" width="22.6640625" bestFit="1" customWidth="1"/>
    <col min="25" max="25" width="21.21875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1427</v>
      </c>
      <c r="L2" t="str">
        <f>DiscreteStatsTable[[#This Row],[ProjectName]]&amp;DiscreteStatsTable[[#This Row],[Name]]&amp;DiscreteStatsTable[[#This Row],[Type]]&amp;DiscreteStatsTable[[#This Row],[Source]]</f>
        <v>Bank Agency counters simulationCounterService.QueueWaiting CostQueue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</v>
      </c>
      <c r="S2">
        <f t="array" ref="S2">MAX(IF((DiscreteStatsTable[GroupByKey]=DiscreteStatsTable[[#This Row],[GroupByKey]]),(DiscreteStatsTable[GroupByKey]=DiscreteStatsTable[[#This Row],[GroupByKey]])*DiscreteStatsTable[Average]))</f>
        <v>0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1427</v>
      </c>
      <c r="W2">
        <f>IF((DiscreteStatsTable[[#This Row],[RepsRequested]]&gt;1),DiscreteStatsTable[[#This Row],[HalfWidth]],DiscreteStatsTable[[#This Row],[BatchMeansHalfWidth]])</f>
        <v>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1.9935927677560401</v>
      </c>
      <c r="H3">
        <v>0.94312742317579301</v>
      </c>
      <c r="I3">
        <v>0</v>
      </c>
      <c r="J3">
        <v>36.146016707033098</v>
      </c>
      <c r="K3">
        <v>1427</v>
      </c>
      <c r="L3" t="str">
        <f>DiscreteStatsTable[[#This Row],[ProjectName]]&amp;DiscreteStatsTable[[#This Row],[Name]]&amp;DiscreteStatsTable[[#This Row],[Type]]&amp;DiscreteStatsTable[[#This Row],[Source]]</f>
        <v>Bank Agency counters simulationCounterService.QueueWaiting TimeQueue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1.9935927677560401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1.9935927677560401</v>
      </c>
      <c r="S3">
        <f t="array" ref="S3">MAX(IF((DiscreteStatsTable[GroupByKey]=DiscreteStatsTable[[#This Row],[GroupByKey]]),(DiscreteStatsTable[GroupByKey]=DiscreteStatsTable[[#This Row],[GroupByKey]])*DiscreteStatsTable[Average]))</f>
        <v>1.9935927677560401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36.146016707033098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1427</v>
      </c>
      <c r="W3">
        <f>IF((DiscreteStatsTable[[#This Row],[RepsRequested]]&gt;1),DiscreteStatsTable[[#This Row],[HalfWidth]],DiscreteStatsTable[[#This Row],[BatchMeansHalfWidth]])</f>
        <v>0.94312742317579301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67</v>
      </c>
      <c r="B4" t="s">
        <v>69</v>
      </c>
      <c r="C4">
        <v>1</v>
      </c>
      <c r="D4" t="s">
        <v>74</v>
      </c>
      <c r="E4" t="s">
        <v>75</v>
      </c>
      <c r="F4" t="s">
        <v>76</v>
      </c>
      <c r="G4">
        <v>0</v>
      </c>
      <c r="H4">
        <v>0</v>
      </c>
      <c r="I4">
        <v>0</v>
      </c>
      <c r="J4">
        <v>0</v>
      </c>
      <c r="K4">
        <v>1425</v>
      </c>
      <c r="L4" t="str">
        <f>DiscreteStatsTable[[#This Row],[ProjectName]]&amp;DiscreteStatsTable[[#This Row],[Name]]&amp;DiscreteStatsTable[[#This Row],[Type]]&amp;DiscreteStatsTable[[#This Row],[Source]]</f>
        <v>Bank Agency counters simulationCustomerNVA CostEntity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0</v>
      </c>
      <c r="S4">
        <f t="array" ref="S4">MAX(IF((DiscreteStatsTable[GroupByKey]=DiscreteStatsTable[[#This Row],[GroupByKey]]),(DiscreteStatsTable[GroupByKey]=DiscreteStatsTable[[#This Row],[GroupByKey]])*DiscreteStatsTable[Average]))</f>
        <v>0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0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1425</v>
      </c>
      <c r="W4">
        <f>IF((DiscreteStatsTable[[#This Row],[RepsRequested]]&gt;1),DiscreteStatsTable[[#This Row],[HalfWidth]],DiscreteStatsTable[[#This Row],[BatchMeansHalfWidth]])</f>
        <v>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67</v>
      </c>
      <c r="B5" t="s">
        <v>69</v>
      </c>
      <c r="C5">
        <v>1</v>
      </c>
      <c r="D5" t="s">
        <v>74</v>
      </c>
      <c r="E5" t="s">
        <v>77</v>
      </c>
      <c r="F5" t="s">
        <v>76</v>
      </c>
      <c r="G5">
        <v>0</v>
      </c>
      <c r="H5">
        <v>0</v>
      </c>
      <c r="I5">
        <v>0</v>
      </c>
      <c r="J5">
        <v>0</v>
      </c>
      <c r="K5">
        <v>1425</v>
      </c>
      <c r="L5" t="str">
        <f>DiscreteStatsTable[[#This Row],[ProjectName]]&amp;DiscreteStatsTable[[#This Row],[Name]]&amp;DiscreteStatsTable[[#This Row],[Type]]&amp;DiscreteStatsTable[[#This Row],[Source]]</f>
        <v>Bank Agency counters simulationCustomerNVA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1425</v>
      </c>
      <c r="W5">
        <f>IF((DiscreteStatsTable[[#This Row],[RepsRequested]]&gt;1),DiscreteStatsTable[[#This Row],[HalfWidth]],DiscreteStatsTable[[#This Row],[BatchMeansHalfWidth]])</f>
        <v>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67</v>
      </c>
      <c r="B6" t="s">
        <v>69</v>
      </c>
      <c r="C6">
        <v>1</v>
      </c>
      <c r="D6" t="s">
        <v>74</v>
      </c>
      <c r="E6" t="s">
        <v>78</v>
      </c>
      <c r="F6" t="s">
        <v>76</v>
      </c>
      <c r="G6">
        <v>0</v>
      </c>
      <c r="H6">
        <v>0</v>
      </c>
      <c r="I6">
        <v>0</v>
      </c>
      <c r="J6">
        <v>0</v>
      </c>
      <c r="K6">
        <v>1425</v>
      </c>
      <c r="L6" t="str">
        <f>DiscreteStatsTable[[#This Row],[ProjectName]]&amp;DiscreteStatsTable[[#This Row],[Name]]&amp;DiscreteStatsTable[[#This Row],[Type]]&amp;DiscreteStatsTable[[#This Row],[Source]]</f>
        <v>Bank Agency counters simulationCustomerOther CostEntity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0</v>
      </c>
      <c r="S6">
        <f t="array" ref="S6">MAX(IF((DiscreteStatsTable[GroupByKey]=DiscreteStatsTable[[#This Row],[GroupByKey]]),(DiscreteStatsTable[GroupByKey]=DiscreteStatsTable[[#This Row],[GroupByKey]])*DiscreteStatsTable[Average]))</f>
        <v>0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0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1425</v>
      </c>
      <c r="W6">
        <f>IF((DiscreteStatsTable[[#This Row],[RepsRequested]]&gt;1),DiscreteStatsTable[[#This Row],[HalfWidth]],DiscreteStatsTable[[#This Row],[BatchMeansHalfWidth]])</f>
        <v>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67</v>
      </c>
      <c r="B7" t="s">
        <v>69</v>
      </c>
      <c r="C7">
        <v>1</v>
      </c>
      <c r="D7" t="s">
        <v>74</v>
      </c>
      <c r="E7" t="s">
        <v>79</v>
      </c>
      <c r="F7" t="s">
        <v>76</v>
      </c>
      <c r="G7">
        <v>0</v>
      </c>
      <c r="H7">
        <v>0</v>
      </c>
      <c r="I7">
        <v>0</v>
      </c>
      <c r="J7">
        <v>0</v>
      </c>
      <c r="K7">
        <v>1425</v>
      </c>
      <c r="L7" t="str">
        <f>DiscreteStatsTable[[#This Row],[ProjectName]]&amp;DiscreteStatsTable[[#This Row],[Name]]&amp;DiscreteStatsTable[[#This Row],[Type]]&amp;DiscreteStatsTable[[#This Row],[Source]]</f>
        <v>Bank Agency counters simulationCustomerOther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1425</v>
      </c>
      <c r="W7">
        <f>IF((DiscreteStatsTable[[#This Row],[RepsRequested]]&gt;1),DiscreteStatsTable[[#This Row],[HalfWidth]],DiscreteStatsTable[[#This Row],[BatchMeansHalfWidth]])</f>
        <v>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67</v>
      </c>
      <c r="B8" t="s">
        <v>69</v>
      </c>
      <c r="C8">
        <v>1</v>
      </c>
      <c r="D8" t="s">
        <v>74</v>
      </c>
      <c r="E8" t="s">
        <v>80</v>
      </c>
      <c r="F8" t="s">
        <v>76</v>
      </c>
      <c r="G8">
        <v>32.536568613840998</v>
      </c>
      <c r="H8">
        <v>1.74643548991867</v>
      </c>
      <c r="I8">
        <v>18.746681550135701</v>
      </c>
      <c r="J8">
        <v>104.730202183391</v>
      </c>
      <c r="K8">
        <v>1425</v>
      </c>
      <c r="L8" t="str">
        <f>DiscreteStatsTable[[#This Row],[ProjectName]]&amp;DiscreteStatsTable[[#This Row],[Name]]&amp;DiscreteStatsTable[[#This Row],[Type]]&amp;DiscreteStatsTable[[#This Row],[Source]]</f>
        <v>Bank Agency counters simulationCustomerTotal CostEntity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32.536568613840998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32.536568613840998</v>
      </c>
      <c r="S8">
        <f t="array" ref="S8">MAX(IF((DiscreteStatsTable[GroupByKey]=DiscreteStatsTable[[#This Row],[GroupByKey]]),(DiscreteStatsTable[GroupByKey]=DiscreteStatsTable[[#This Row],[GroupByKey]])*DiscreteStatsTable[Average]))</f>
        <v>32.536568613840998</v>
      </c>
      <c r="T8">
        <f t="array" ref="T8">MIN(IF((DiscreteStatsTable[GroupByKey]=DiscreteStatsTable[[#This Row],[GroupByKey]]),(DiscreteStatsTable[GroupByKey]=DiscreteStatsTable[[#This Row],[GroupByKey]])*DiscreteStatsTable[Minimum]))</f>
        <v>18.746681550135701</v>
      </c>
      <c r="U8">
        <f t="array" ref="U8">MAX(IF((DiscreteStatsTable[GroupByKey]=DiscreteStatsTable[[#This Row],[GroupByKey]]),(DiscreteStatsTable[GroupByKey]=DiscreteStatsTable[[#This Row],[GroupByKey]])*DiscreteStatsTable[Maximum]))</f>
        <v>104.730202183391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1425</v>
      </c>
      <c r="W8">
        <f>IF((DiscreteStatsTable[[#This Row],[RepsRequested]]&gt;1),DiscreteStatsTable[[#This Row],[HalfWidth]],DiscreteStatsTable[[#This Row],[BatchMeansHalfWidth]])</f>
        <v>1.74643548991867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67</v>
      </c>
      <c r="B9" t="s">
        <v>69</v>
      </c>
      <c r="C9">
        <v>1</v>
      </c>
      <c r="D9" t="s">
        <v>74</v>
      </c>
      <c r="E9" t="s">
        <v>81</v>
      </c>
      <c r="F9" t="s">
        <v>76</v>
      </c>
      <c r="G9">
        <v>18.264675099613701</v>
      </c>
      <c r="H9">
        <v>1.5028085220151901</v>
      </c>
      <c r="I9">
        <v>9.3733407750678506</v>
      </c>
      <c r="J9">
        <v>78.961710183541996</v>
      </c>
      <c r="K9">
        <v>1425</v>
      </c>
      <c r="L9" t="str">
        <f>DiscreteStatsTable[[#This Row],[ProjectName]]&amp;DiscreteStatsTable[[#This Row],[Name]]&amp;DiscreteStatsTable[[#This Row],[Type]]&amp;DiscreteStatsTable[[#This Row],[Source]]</f>
        <v>Bank Agency counters simulationCustomerTotal TimeEntity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18.264675099613701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18.264675099613701</v>
      </c>
      <c r="S9">
        <f t="array" ref="S9">MAX(IF((DiscreteStatsTable[GroupByKey]=DiscreteStatsTable[[#This Row],[GroupByKey]]),(DiscreteStatsTable[GroupByKey]=DiscreteStatsTable[[#This Row],[GroupByKey]])*DiscreteStatsTable[Average]))</f>
        <v>18.264675099613701</v>
      </c>
      <c r="T9">
        <f t="array" ref="T9">MIN(IF((DiscreteStatsTable[GroupByKey]=DiscreteStatsTable[[#This Row],[GroupByKey]]),(DiscreteStatsTable[GroupByKey]=DiscreteStatsTable[[#This Row],[GroupByKey]])*DiscreteStatsTable[Minimum]))</f>
        <v>9.3733407750678506</v>
      </c>
      <c r="U9">
        <f t="array" ref="U9">MAX(IF((DiscreteStatsTable[GroupByKey]=DiscreteStatsTable[[#This Row],[GroupByKey]]),(DiscreteStatsTable[GroupByKey]=DiscreteStatsTable[[#This Row],[GroupByKey]])*DiscreteStatsTable[Maximum]))</f>
        <v>78.961710183541996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1425</v>
      </c>
      <c r="W9">
        <f>IF((DiscreteStatsTable[[#This Row],[RepsRequested]]&gt;1),DiscreteStatsTable[[#This Row],[HalfWidth]],DiscreteStatsTable[[#This Row],[BatchMeansHalfWidth]])</f>
        <v>1.5028085220151901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67</v>
      </c>
      <c r="B10" t="s">
        <v>69</v>
      </c>
      <c r="C10">
        <v>1</v>
      </c>
      <c r="D10" t="s">
        <v>74</v>
      </c>
      <c r="E10" t="s">
        <v>82</v>
      </c>
      <c r="F10" t="s">
        <v>76</v>
      </c>
      <c r="G10">
        <v>0</v>
      </c>
      <c r="H10">
        <v>0</v>
      </c>
      <c r="I10">
        <v>0</v>
      </c>
      <c r="J10">
        <v>0</v>
      </c>
      <c r="K10">
        <v>1425</v>
      </c>
      <c r="L10" t="str">
        <f>DiscreteStatsTable[[#This Row],[ProjectName]]&amp;DiscreteStatsTable[[#This Row],[Name]]&amp;DiscreteStatsTable[[#This Row],[Type]]&amp;DiscreteStatsTable[[#This Row],[Source]]</f>
        <v>Bank Agency counters simulationCustomerTransfer CostEntity</v>
      </c>
      <c r="M10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>
        <f t="array" ref="R10">MIN(IF((DiscreteStatsTable[GroupByKey]=DiscreteStatsTable[[#This Row],[GroupByKey]]),(DiscreteStatsTable[GroupByKey]=DiscreteStatsTable[[#This Row],[GroupByKey]])*DiscreteStatsTable[Average]))</f>
        <v>0</v>
      </c>
      <c r="S10">
        <f t="array" ref="S10">MAX(IF((DiscreteStatsTable[GroupByKey]=DiscreteStatsTable[[#This Row],[GroupByKey]]),(DiscreteStatsTable[GroupByKey]=DiscreteStatsTable[[#This Row],[GroupByKey]])*DiscreteStatsTable[Average]))</f>
        <v>0</v>
      </c>
      <c r="T10">
        <f t="array" ref="T10">MIN(IF((DiscreteStatsTable[GroupByKey]=DiscreteStatsTable[[#This Row],[GroupByKey]]),(DiscreteStatsTable[GroupByKey]=DiscreteStatsTable[[#This Row],[GroupByKey]])*DiscreteStatsTable[Minimum]))</f>
        <v>0</v>
      </c>
      <c r="U10">
        <f t="array" ref="U10">MAX(IF((DiscreteStatsTable[GroupByKey]=DiscreteStatsTable[[#This Row],[GroupByKey]]),(DiscreteStatsTable[GroupByKey]=DiscreteStatsTable[[#This Row],[GroupByKey]])*DiscreteStatsTable[Maximum]))</f>
        <v>0</v>
      </c>
      <c r="V10">
        <f t="array" ref="V10">IFERROR(AVERAGE(IF((DiscreteStatsTable[GroupByKey]=DiscreteStatsTable[[#This Row],[GroupByKey]]),(DiscreteStatsTable[GroupByKey]=DiscreteStatsTable[[#This Row],[GroupByKey]])*DiscreteStatsTable[NumberObservations])),0)</f>
        <v>1425</v>
      </c>
      <c r="W10">
        <f>IF((DiscreteStatsTable[[#This Row],[RepsRequested]]&gt;1),DiscreteStatsTable[[#This Row],[HalfWidth]],DiscreteStatsTable[[#This Row],[BatchMeansHalfWidth]])</f>
        <v>0</v>
      </c>
      <c r="X10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67</v>
      </c>
      <c r="B11" t="s">
        <v>69</v>
      </c>
      <c r="C11">
        <v>1</v>
      </c>
      <c r="D11" t="s">
        <v>74</v>
      </c>
      <c r="E11" t="s">
        <v>83</v>
      </c>
      <c r="F11" t="s">
        <v>76</v>
      </c>
      <c r="G11">
        <v>0</v>
      </c>
      <c r="H11">
        <v>0</v>
      </c>
      <c r="I11">
        <v>0</v>
      </c>
      <c r="J11">
        <v>0</v>
      </c>
      <c r="K11">
        <v>1425</v>
      </c>
      <c r="L11" t="str">
        <f>DiscreteStatsTable[[#This Row],[ProjectName]]&amp;DiscreteStatsTable[[#This Row],[Name]]&amp;DiscreteStatsTable[[#This Row],[Type]]&amp;DiscreteStatsTable[[#This Row],[Source]]</f>
        <v>Bank Agency counters simulationCustomerTransfer TimeEntity</v>
      </c>
      <c r="M1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>
        <f t="array" ref="R11">MIN(IF((DiscreteStatsTable[GroupByKey]=DiscreteStatsTable[[#This Row],[GroupByKey]]),(DiscreteStatsTable[GroupByKey]=DiscreteStatsTable[[#This Row],[GroupByKey]])*DiscreteStatsTable[Average]))</f>
        <v>0</v>
      </c>
      <c r="S11">
        <f t="array" ref="S11">MAX(IF((DiscreteStatsTable[GroupByKey]=DiscreteStatsTable[[#This Row],[GroupByKey]]),(DiscreteStatsTable[GroupByKey]=DiscreteStatsTable[[#This Row],[GroupByKey]])*DiscreteStatsTable[Average]))</f>
        <v>0</v>
      </c>
      <c r="T11">
        <f t="array" ref="T11">MIN(IF((DiscreteStatsTable[GroupByKey]=DiscreteStatsTable[[#This Row],[GroupByKey]]),(DiscreteStatsTable[GroupByKey]=DiscreteStatsTable[[#This Row],[GroupByKey]])*DiscreteStatsTable[Minimum]))</f>
        <v>0</v>
      </c>
      <c r="U11">
        <f t="array" ref="U11">MAX(IF((DiscreteStatsTable[GroupByKey]=DiscreteStatsTable[[#This Row],[GroupByKey]]),(DiscreteStatsTable[GroupByKey]=DiscreteStatsTable[[#This Row],[GroupByKey]])*DiscreteStatsTable[Maximum]))</f>
        <v>0</v>
      </c>
      <c r="V11">
        <f t="array" ref="V11">IFERROR(AVERAGE(IF((DiscreteStatsTable[GroupByKey]=DiscreteStatsTable[[#This Row],[GroupByKey]]),(DiscreteStatsTable[GroupByKey]=DiscreteStatsTable[[#This Row],[GroupByKey]])*DiscreteStatsTable[NumberObservations])),0)</f>
        <v>1425</v>
      </c>
      <c r="W11">
        <f>IF((DiscreteStatsTable[[#This Row],[RepsRequested]]&gt;1),DiscreteStatsTable[[#This Row],[HalfWidth]],DiscreteStatsTable[[#This Row],[BatchMeansHalfWidth]])</f>
        <v>0</v>
      </c>
      <c r="X1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67</v>
      </c>
      <c r="B12" t="s">
        <v>69</v>
      </c>
      <c r="C12">
        <v>1</v>
      </c>
      <c r="D12" t="s">
        <v>74</v>
      </c>
      <c r="E12" t="s">
        <v>84</v>
      </c>
      <c r="F12" t="s">
        <v>76</v>
      </c>
      <c r="G12">
        <v>32.536568613840998</v>
      </c>
      <c r="H12">
        <v>1.74643548991867</v>
      </c>
      <c r="I12">
        <v>18.746681550135701</v>
      </c>
      <c r="J12">
        <v>104.730202183391</v>
      </c>
      <c r="K12">
        <v>1425</v>
      </c>
      <c r="L12" t="str">
        <f>DiscreteStatsTable[[#This Row],[ProjectName]]&amp;DiscreteStatsTable[[#This Row],[Name]]&amp;DiscreteStatsTable[[#This Row],[Type]]&amp;DiscreteStatsTable[[#This Row],[Source]]</f>
        <v>Bank Agency counters simulationCustomerVA CostEntity</v>
      </c>
      <c r="M12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>
        <f t="array" ref="N12">IFERROR(AVERAGE(IF((DiscreteStatsTable[GroupByKey]=DiscreteStatsTable[[#This Row],[GroupByKey]]),(DiscreteStatsTable[GroupByKey]=DiscreteStatsTable[[#This Row],[GroupByKey]])*DiscreteStatsTable[Average])),0)</f>
        <v>32.536568613840998</v>
      </c>
      <c r="O12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>
        <f t="array" ref="R12">MIN(IF((DiscreteStatsTable[GroupByKey]=DiscreteStatsTable[[#This Row],[GroupByKey]]),(DiscreteStatsTable[GroupByKey]=DiscreteStatsTable[[#This Row],[GroupByKey]])*DiscreteStatsTable[Average]))</f>
        <v>32.536568613840998</v>
      </c>
      <c r="S12">
        <f t="array" ref="S12">MAX(IF((DiscreteStatsTable[GroupByKey]=DiscreteStatsTable[[#This Row],[GroupByKey]]),(DiscreteStatsTable[GroupByKey]=DiscreteStatsTable[[#This Row],[GroupByKey]])*DiscreteStatsTable[Average]))</f>
        <v>32.536568613840998</v>
      </c>
      <c r="T12">
        <f t="array" ref="T12">MIN(IF((DiscreteStatsTable[GroupByKey]=DiscreteStatsTable[[#This Row],[GroupByKey]]),(DiscreteStatsTable[GroupByKey]=DiscreteStatsTable[[#This Row],[GroupByKey]])*DiscreteStatsTable[Minimum]))</f>
        <v>18.746681550135701</v>
      </c>
      <c r="U12">
        <f t="array" ref="U12">MAX(IF((DiscreteStatsTable[GroupByKey]=DiscreteStatsTable[[#This Row],[GroupByKey]]),(DiscreteStatsTable[GroupByKey]=DiscreteStatsTable[[#This Row],[GroupByKey]])*DiscreteStatsTable[Maximum]))</f>
        <v>104.730202183391</v>
      </c>
      <c r="V12">
        <f t="array" ref="V12">IFERROR(AVERAGE(IF((DiscreteStatsTable[GroupByKey]=DiscreteStatsTable[[#This Row],[GroupByKey]]),(DiscreteStatsTable[GroupByKey]=DiscreteStatsTable[[#This Row],[GroupByKey]])*DiscreteStatsTable[NumberObservations])),0)</f>
        <v>1425</v>
      </c>
      <c r="W12">
        <f>IF((DiscreteStatsTable[[#This Row],[RepsRequested]]&gt;1),DiscreteStatsTable[[#This Row],[HalfWidth]],DiscreteStatsTable[[#This Row],[BatchMeansHalfWidth]])</f>
        <v>1.74643548991867</v>
      </c>
      <c r="X12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67</v>
      </c>
      <c r="B13" t="s">
        <v>69</v>
      </c>
      <c r="C13">
        <v>1</v>
      </c>
      <c r="D13" t="s">
        <v>74</v>
      </c>
      <c r="E13" t="s">
        <v>85</v>
      </c>
      <c r="F13" t="s">
        <v>76</v>
      </c>
      <c r="G13">
        <v>16.268284306920499</v>
      </c>
      <c r="H13">
        <v>0.87321774495933602</v>
      </c>
      <c r="I13">
        <v>9.3733407750678506</v>
      </c>
      <c r="J13">
        <v>52.365101091695401</v>
      </c>
      <c r="K13">
        <v>1425</v>
      </c>
      <c r="L13" t="str">
        <f>DiscreteStatsTable[[#This Row],[ProjectName]]&amp;DiscreteStatsTable[[#This Row],[Name]]&amp;DiscreteStatsTable[[#This Row],[Type]]&amp;DiscreteStatsTable[[#This Row],[Source]]</f>
        <v>Bank Agency counters simulationCustomerVA TimeEntity</v>
      </c>
      <c r="M13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>
        <f t="array" ref="N13">IFERROR(AVERAGE(IF((DiscreteStatsTable[GroupByKey]=DiscreteStatsTable[[#This Row],[GroupByKey]]),(DiscreteStatsTable[GroupByKey]=DiscreteStatsTable[[#This Row],[GroupByKey]])*DiscreteStatsTable[Average])),0)</f>
        <v>16.268284306920499</v>
      </c>
      <c r="O13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>
        <f t="array" ref="R13">MIN(IF((DiscreteStatsTable[GroupByKey]=DiscreteStatsTable[[#This Row],[GroupByKey]]),(DiscreteStatsTable[GroupByKey]=DiscreteStatsTable[[#This Row],[GroupByKey]])*DiscreteStatsTable[Average]))</f>
        <v>16.268284306920499</v>
      </c>
      <c r="S13">
        <f t="array" ref="S13">MAX(IF((DiscreteStatsTable[GroupByKey]=DiscreteStatsTable[[#This Row],[GroupByKey]]),(DiscreteStatsTable[GroupByKey]=DiscreteStatsTable[[#This Row],[GroupByKey]])*DiscreteStatsTable[Average]))</f>
        <v>16.268284306920499</v>
      </c>
      <c r="T13">
        <f t="array" ref="T13">MIN(IF((DiscreteStatsTable[GroupByKey]=DiscreteStatsTable[[#This Row],[GroupByKey]]),(DiscreteStatsTable[GroupByKey]=DiscreteStatsTable[[#This Row],[GroupByKey]])*DiscreteStatsTable[Minimum]))</f>
        <v>9.3733407750678506</v>
      </c>
      <c r="U13">
        <f t="array" ref="U13">MAX(IF((DiscreteStatsTable[GroupByKey]=DiscreteStatsTable[[#This Row],[GroupByKey]]),(DiscreteStatsTable[GroupByKey]=DiscreteStatsTable[[#This Row],[GroupByKey]])*DiscreteStatsTable[Maximum]))</f>
        <v>52.365101091695401</v>
      </c>
      <c r="V13">
        <f t="array" ref="V13">IFERROR(AVERAGE(IF((DiscreteStatsTable[GroupByKey]=DiscreteStatsTable[[#This Row],[GroupByKey]]),(DiscreteStatsTable[GroupByKey]=DiscreteStatsTable[[#This Row],[GroupByKey]])*DiscreteStatsTable[NumberObservations])),0)</f>
        <v>1425</v>
      </c>
      <c r="W13">
        <f>IF((DiscreteStatsTable[[#This Row],[RepsRequested]]&gt;1),DiscreteStatsTable[[#This Row],[HalfWidth]],DiscreteStatsTable[[#This Row],[BatchMeansHalfWidth]])</f>
        <v>0.87321774495933602</v>
      </c>
      <c r="X13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67</v>
      </c>
      <c r="B14" t="s">
        <v>69</v>
      </c>
      <c r="C14">
        <v>1</v>
      </c>
      <c r="D14" t="s">
        <v>74</v>
      </c>
      <c r="E14" t="s">
        <v>86</v>
      </c>
      <c r="F14" t="s">
        <v>76</v>
      </c>
      <c r="G14">
        <v>0</v>
      </c>
      <c r="H14">
        <v>0</v>
      </c>
      <c r="I14">
        <v>0</v>
      </c>
      <c r="J14">
        <v>0</v>
      </c>
      <c r="K14">
        <v>1425</v>
      </c>
      <c r="L14" t="str">
        <f>DiscreteStatsTable[[#This Row],[ProjectName]]&amp;DiscreteStatsTable[[#This Row],[Name]]&amp;DiscreteStatsTable[[#This Row],[Type]]&amp;DiscreteStatsTable[[#This Row],[Source]]</f>
        <v>Bank Agency counters simulationCustomerWait CostEntity</v>
      </c>
      <c r="M14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>
        <f t="array" ref="R14">MIN(IF((DiscreteStatsTable[GroupByKey]=DiscreteStatsTable[[#This Row],[GroupByKey]]),(DiscreteStatsTable[GroupByKey]=DiscreteStatsTable[[#This Row],[GroupByKey]])*DiscreteStatsTable[Average]))</f>
        <v>0</v>
      </c>
      <c r="S14">
        <f t="array" ref="S14">MAX(IF((DiscreteStatsTable[GroupByKey]=DiscreteStatsTable[[#This Row],[GroupByKey]]),(DiscreteStatsTable[GroupByKey]=DiscreteStatsTable[[#This Row],[GroupByKey]])*DiscreteStatsTable[Average]))</f>
        <v>0</v>
      </c>
      <c r="T14">
        <f t="array" ref="T14">MIN(IF((DiscreteStatsTable[GroupByKey]=DiscreteStatsTable[[#This Row],[GroupByKey]]),(DiscreteStatsTable[GroupByKey]=DiscreteStatsTable[[#This Row],[GroupByKey]])*DiscreteStatsTable[Minimum]))</f>
        <v>0</v>
      </c>
      <c r="U14">
        <f t="array" ref="U14">MAX(IF((DiscreteStatsTable[GroupByKey]=DiscreteStatsTable[[#This Row],[GroupByKey]]),(DiscreteStatsTable[GroupByKey]=DiscreteStatsTable[[#This Row],[GroupByKey]])*DiscreteStatsTable[Maximum]))</f>
        <v>0</v>
      </c>
      <c r="V14">
        <f t="array" ref="V14">IFERROR(AVERAGE(IF((DiscreteStatsTable[GroupByKey]=DiscreteStatsTable[[#This Row],[GroupByKey]]),(DiscreteStatsTable[GroupByKey]=DiscreteStatsTable[[#This Row],[GroupByKey]])*DiscreteStatsTable[NumberObservations])),0)</f>
        <v>1425</v>
      </c>
      <c r="W14">
        <f>IF((DiscreteStatsTable[[#This Row],[RepsRequested]]&gt;1),DiscreteStatsTable[[#This Row],[HalfWidth]],DiscreteStatsTable[[#This Row],[BatchMeansHalfWidth]])</f>
        <v>0</v>
      </c>
      <c r="X14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67</v>
      </c>
      <c r="B15" t="s">
        <v>69</v>
      </c>
      <c r="C15">
        <v>1</v>
      </c>
      <c r="D15" t="s">
        <v>74</v>
      </c>
      <c r="E15" t="s">
        <v>87</v>
      </c>
      <c r="F15" t="s">
        <v>76</v>
      </c>
      <c r="G15">
        <v>1.99639079269325</v>
      </c>
      <c r="H15">
        <v>0.92964375033963298</v>
      </c>
      <c r="I15">
        <v>0</v>
      </c>
      <c r="J15">
        <v>36.146016707033098</v>
      </c>
      <c r="K15">
        <v>1425</v>
      </c>
      <c r="L15" t="str">
        <f>DiscreteStatsTable[[#This Row],[ProjectName]]&amp;DiscreteStatsTable[[#This Row],[Name]]&amp;DiscreteStatsTable[[#This Row],[Type]]&amp;DiscreteStatsTable[[#This Row],[Source]]</f>
        <v>Bank Agency counters simulationCustomerWait TimeEntity</v>
      </c>
      <c r="M15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>
        <f t="array" ref="N15">IFERROR(AVERAGE(IF((DiscreteStatsTable[GroupByKey]=DiscreteStatsTable[[#This Row],[GroupByKey]]),(DiscreteStatsTable[GroupByKey]=DiscreteStatsTable[[#This Row],[GroupByKey]])*DiscreteStatsTable[Average])),0)</f>
        <v>1.99639079269325</v>
      </c>
      <c r="O15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>
        <f t="array" ref="R15">MIN(IF((DiscreteStatsTable[GroupByKey]=DiscreteStatsTable[[#This Row],[GroupByKey]]),(DiscreteStatsTable[GroupByKey]=DiscreteStatsTable[[#This Row],[GroupByKey]])*DiscreteStatsTable[Average]))</f>
        <v>1.99639079269325</v>
      </c>
      <c r="S15">
        <f t="array" ref="S15">MAX(IF((DiscreteStatsTable[GroupByKey]=DiscreteStatsTable[[#This Row],[GroupByKey]]),(DiscreteStatsTable[GroupByKey]=DiscreteStatsTable[[#This Row],[GroupByKey]])*DiscreteStatsTable[Average]))</f>
        <v>1.99639079269325</v>
      </c>
      <c r="T15">
        <f t="array" ref="T15">MIN(IF((DiscreteStatsTable[GroupByKey]=DiscreteStatsTable[[#This Row],[GroupByKey]]),(DiscreteStatsTable[GroupByKey]=DiscreteStatsTable[[#This Row],[GroupByKey]])*DiscreteStatsTable[Minimum]))</f>
        <v>0</v>
      </c>
      <c r="U15">
        <f t="array" ref="U15">MAX(IF((DiscreteStatsTable[GroupByKey]=DiscreteStatsTable[[#This Row],[GroupByKey]]),(DiscreteStatsTable[GroupByKey]=DiscreteStatsTable[[#This Row],[GroupByKey]])*DiscreteStatsTable[Maximum]))</f>
        <v>36.146016707033098</v>
      </c>
      <c r="V15">
        <f t="array" ref="V15">IFERROR(AVERAGE(IF((DiscreteStatsTable[GroupByKey]=DiscreteStatsTable[[#This Row],[GroupByKey]]),(DiscreteStatsTable[GroupByKey]=DiscreteStatsTable[[#This Row],[GroupByKey]])*DiscreteStatsTable[NumberObservations])),0)</f>
        <v>1425</v>
      </c>
      <c r="W15">
        <f>IF((DiscreteStatsTable[[#This Row],[RepsRequested]]&gt;1),DiscreteStatsTable[[#This Row],[HalfWidth]],DiscreteStatsTable[[#This Row],[BatchMeansHalfWidth]])</f>
        <v>0.92964375033963298</v>
      </c>
      <c r="X15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20" priority="23">
      <formula>H2=200000000000000000000</formula>
    </cfRule>
  </conditionalFormatting>
  <conditionalFormatting sqref="H2:H15">
    <cfRule type="expression" dxfId="19" priority="21">
      <formula>H2=300000000000000000000</formula>
    </cfRule>
  </conditionalFormatting>
  <conditionalFormatting sqref="L2:Y15">
    <cfRule type="expression" dxfId="18" priority="19">
      <formula>MOD(ROW(),2)=0</formula>
    </cfRule>
  </conditionalFormatting>
  <conditionalFormatting sqref="Y2:Y15">
    <cfRule type="expression" dxfId="17" priority="14">
      <formula>Y2=0</formula>
    </cfRule>
    <cfRule type="expression" dxfId="16" priority="16">
      <formula>Y2=1</formula>
    </cfRule>
  </conditionalFormatting>
  <conditionalFormatting sqref="Y3:Y15">
    <cfRule type="expression" dxfId="15" priority="15">
      <formula>Y3=1</formula>
    </cfRule>
  </conditionalFormatting>
  <conditionalFormatting sqref="W2:W1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5 W2:W1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6"/>
  <sheetViews>
    <sheetView workbookViewId="0">
      <selection activeCell="A2" sqref="A2:L11"/>
    </sheetView>
  </sheetViews>
  <sheetFormatPr baseColWidth="10" defaultColWidth="8.88671875" defaultRowHeight="14.4" x14ac:dyDescent="0.3"/>
  <cols>
    <col min="1" max="1" width="28" bestFit="1" customWidth="1"/>
    <col min="2" max="2" width="21.109375" customWidth="1"/>
    <col min="3" max="3" width="12.5546875" bestFit="1" customWidth="1"/>
    <col min="4" max="4" width="19.3320312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customWidth="1"/>
    <col min="9" max="9" width="11.44140625" bestFit="1" customWidth="1"/>
    <col min="10" max="10" width="11.77734375" bestFit="1" customWidth="1"/>
    <col min="11" max="11" width="19.44140625" customWidth="1"/>
    <col min="12" max="12" width="11.33203125" bestFit="1" customWidth="1"/>
    <col min="13" max="13" width="65.5546875" bestFit="1" customWidth="1"/>
    <col min="14" max="14" width="16.109375" customWidth="1"/>
    <col min="15" max="15" width="19.109375" bestFit="1" customWidth="1"/>
    <col min="16" max="16" width="17" customWidth="1"/>
    <col min="17" max="17" width="19.33203125" customWidth="1"/>
    <col min="18" max="18" width="11.6640625" bestFit="1" customWidth="1"/>
    <col min="19" max="19" width="18.44140625" bestFit="1" customWidth="1"/>
    <col min="20" max="20" width="18.77734375" bestFit="1" customWidth="1"/>
    <col min="21" max="21" width="19.88671875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67</v>
      </c>
      <c r="B2" t="s">
        <v>69</v>
      </c>
      <c r="C2">
        <v>1</v>
      </c>
      <c r="D2" t="s">
        <v>88</v>
      </c>
      <c r="E2" t="s">
        <v>89</v>
      </c>
      <c r="F2" t="s">
        <v>90</v>
      </c>
      <c r="G2">
        <v>0.60394696593357899</v>
      </c>
      <c r="H2">
        <v>4.2797035815414199E-2</v>
      </c>
      <c r="I2">
        <v>0</v>
      </c>
      <c r="J2">
        <v>1</v>
      </c>
      <c r="K2">
        <v>0.5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Bank Agency counters simulationCounterInstantaneous UtilizationResource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0.60394696593357899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0.60394696593357899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0.60394696593357899</v>
      </c>
      <c r="U2">
        <f>IF((ContinuousStatsTable[[#This Row],[RepsRequested]]&gt;1),ContinuousStatsTable[[#This Row],[HalfWidth]],ContinuousStatsTable[[#This Row],[BatchMeansHalfWidth]])</f>
        <v>4.2797035815414199E-2</v>
      </c>
    </row>
    <row r="3" spans="1:21" x14ac:dyDescent="0.3">
      <c r="A3" t="s">
        <v>67</v>
      </c>
      <c r="B3" t="s">
        <v>69</v>
      </c>
      <c r="C3">
        <v>1</v>
      </c>
      <c r="D3" t="s">
        <v>88</v>
      </c>
      <c r="E3" t="s">
        <v>91</v>
      </c>
      <c r="F3" t="s">
        <v>90</v>
      </c>
      <c r="G3">
        <v>2.41578786373432</v>
      </c>
      <c r="H3">
        <v>0.17118814326165699</v>
      </c>
      <c r="I3">
        <v>0</v>
      </c>
      <c r="J3">
        <v>4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Bank Agency counters simulationCounterNumber BusyResource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2.41578786373432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2.41578786373432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2.41578786373432</v>
      </c>
      <c r="U3">
        <f>IF((ContinuousStatsTable[[#This Row],[RepsRequested]]&gt;1),ContinuousStatsTable[[#This Row],[HalfWidth]],ContinuousStatsTable[[#This Row],[BatchMeansHalfWidth]])</f>
        <v>0.17118814326165699</v>
      </c>
    </row>
    <row r="4" spans="1:21" x14ac:dyDescent="0.3">
      <c r="A4" t="s">
        <v>67</v>
      </c>
      <c r="B4" t="s">
        <v>69</v>
      </c>
      <c r="C4">
        <v>1</v>
      </c>
      <c r="D4" t="s">
        <v>88</v>
      </c>
      <c r="E4" t="s">
        <v>92</v>
      </c>
      <c r="F4" t="s">
        <v>90</v>
      </c>
      <c r="G4">
        <v>4</v>
      </c>
      <c r="H4">
        <v>2E+20</v>
      </c>
      <c r="I4">
        <v>4</v>
      </c>
      <c r="J4">
        <v>4</v>
      </c>
      <c r="K4">
        <v>4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Bank Agency counters simulationCounterNumber ScheduledResource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4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4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4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67</v>
      </c>
      <c r="B5" t="s">
        <v>69</v>
      </c>
      <c r="C5">
        <v>1</v>
      </c>
      <c r="D5" t="s">
        <v>70</v>
      </c>
      <c r="E5" t="s">
        <v>93</v>
      </c>
      <c r="F5" t="s">
        <v>72</v>
      </c>
      <c r="G5">
        <v>0.29633925829040397</v>
      </c>
      <c r="H5">
        <v>0.160930803131032</v>
      </c>
      <c r="I5">
        <v>0</v>
      </c>
      <c r="J5">
        <v>9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Bank Agency counters simulationCounterService.QueueNumber WaitingQueue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0.29633925829040397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0.29633925829040397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0.29633925829040397</v>
      </c>
      <c r="U5">
        <f>IF((ContinuousStatsTable[[#This Row],[RepsRequested]]&gt;1),ContinuousStatsTable[[#This Row],[HalfWidth]],ContinuousStatsTable[[#This Row],[BatchMeansHalfWidth]])</f>
        <v>0.160930803131032</v>
      </c>
    </row>
    <row r="6" spans="1:21" x14ac:dyDescent="0.3">
      <c r="A6" t="s">
        <v>67</v>
      </c>
      <c r="B6" t="s">
        <v>69</v>
      </c>
      <c r="C6">
        <v>1</v>
      </c>
      <c r="D6" t="s">
        <v>74</v>
      </c>
      <c r="E6" t="s">
        <v>94</v>
      </c>
      <c r="F6" t="s">
        <v>76</v>
      </c>
      <c r="G6">
        <v>2.7121271220247301</v>
      </c>
      <c r="H6">
        <v>0.31301629707034501</v>
      </c>
      <c r="I6">
        <v>0</v>
      </c>
      <c r="J6">
        <v>13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Bank Agency counters simulationCustomerWIPEntity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2.7121271220247301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2.7121271220247301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2.7121271220247301</v>
      </c>
      <c r="U6">
        <f>IF((ContinuousStatsTable[[#This Row],[RepsRequested]]&gt;1),ContinuousStatsTable[[#This Row],[HalfWidth]],ContinuousStatsTable[[#This Row],[BatchMeansHalfWidth]])</f>
        <v>0.31301629707034501</v>
      </c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" bestFit="1" customWidth="1"/>
    <col min="8" max="8" width="13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0"/>
  <sheetViews>
    <sheetView topLeftCell="A5" workbookViewId="0">
      <selection activeCell="A2" sqref="A2:H31"/>
    </sheetView>
  </sheetViews>
  <sheetFormatPr baseColWidth="10" defaultColWidth="8.88671875" defaultRowHeight="14.4" x14ac:dyDescent="0.3"/>
  <cols>
    <col min="1" max="1" width="28" bestFit="1" customWidth="1"/>
    <col min="2" max="2" width="21.109375" customWidth="1"/>
    <col min="3" max="3" width="12.5546875" bestFit="1" customWidth="1"/>
    <col min="4" max="4" width="24.88671875" bestFit="1" customWidth="1"/>
    <col min="5" max="5" width="18.109375" bestFit="1" customWidth="1"/>
    <col min="6" max="6" width="9" bestFit="1" customWidth="1"/>
    <col min="7" max="7" width="16" customWidth="1"/>
    <col min="8" max="8" width="11.33203125" bestFit="1" customWidth="1"/>
    <col min="9" max="9" width="77.21875" bestFit="1" customWidth="1"/>
    <col min="10" max="10" width="16.109375" customWidth="1"/>
    <col min="11" max="11" width="12" bestFit="1" customWidth="1"/>
    <col min="12" max="12" width="19" bestFit="1" customWidth="1"/>
    <col min="13" max="13" width="19.33203125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67</v>
      </c>
      <c r="B2" t="s">
        <v>69</v>
      </c>
      <c r="C2">
        <v>1</v>
      </c>
      <c r="D2" t="s">
        <v>95</v>
      </c>
      <c r="E2" t="s">
        <v>75</v>
      </c>
      <c r="F2" t="s">
        <v>96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Bank Agency counters simulationAll Entities.NVACostNVA CostSystem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0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0</v>
      </c>
      <c r="P2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3">
      <c r="A3" t="s">
        <v>67</v>
      </c>
      <c r="B3" t="s">
        <v>69</v>
      </c>
      <c r="C3">
        <v>1</v>
      </c>
      <c r="D3" t="s">
        <v>97</v>
      </c>
      <c r="E3" t="s">
        <v>78</v>
      </c>
      <c r="F3" t="s">
        <v>96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Bank Agency counters simulationAll Entities.OtherCostOther CostSystem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0</v>
      </c>
      <c r="P3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3">
      <c r="A4" t="s">
        <v>67</v>
      </c>
      <c r="B4" t="s">
        <v>69</v>
      </c>
      <c r="C4">
        <v>1</v>
      </c>
      <c r="D4" t="s">
        <v>98</v>
      </c>
      <c r="E4" t="s">
        <v>80</v>
      </c>
      <c r="F4" t="s">
        <v>96</v>
      </c>
      <c r="G4">
        <v>46364.610274723302</v>
      </c>
      <c r="H4">
        <v>0</v>
      </c>
      <c r="I4" t="str">
        <f>OutputTable[[#This Row],[ProjectName]]&amp;OutputTable[[#This Row],[Name]]&amp;OutputTable[[#This Row],[Type]]&amp;OutputTable[[#This Row],[Source]]</f>
        <v>Bank Agency counters simulationAll Entities.TotalCostTotal CostSystem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46364.610274723302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46364.610274723302</v>
      </c>
      <c r="P4">
        <f t="array" ref="P4">MAX(IF((OutputTable[GroupByKey]=OutputTable[[#This Row],[GroupByKey]]),(OutputTable[GroupByKey]=OutputTable[[#This Row],[GroupByKey]])*OutputTable[RecordedValue]))</f>
        <v>46364.610274723302</v>
      </c>
    </row>
    <row r="5" spans="1:16" x14ac:dyDescent="0.3">
      <c r="A5" t="s">
        <v>67</v>
      </c>
      <c r="B5" t="s">
        <v>69</v>
      </c>
      <c r="C5">
        <v>1</v>
      </c>
      <c r="D5" t="s">
        <v>99</v>
      </c>
      <c r="E5" t="s">
        <v>100</v>
      </c>
      <c r="F5" t="s">
        <v>96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Bank Agency counters simulationAll Entities.TranCostTran CostSystem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0</v>
      </c>
      <c r="P5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A6" t="s">
        <v>67</v>
      </c>
      <c r="B6" t="s">
        <v>69</v>
      </c>
      <c r="C6">
        <v>1</v>
      </c>
      <c r="D6" t="s">
        <v>101</v>
      </c>
      <c r="E6" t="s">
        <v>84</v>
      </c>
      <c r="F6" t="s">
        <v>96</v>
      </c>
      <c r="G6">
        <v>46364.610274723302</v>
      </c>
      <c r="H6">
        <v>0</v>
      </c>
      <c r="I6" t="str">
        <f>OutputTable[[#This Row],[ProjectName]]&amp;OutputTable[[#This Row],[Name]]&amp;OutputTable[[#This Row],[Type]]&amp;OutputTable[[#This Row],[Source]]</f>
        <v>Bank Agency counters simulationAll Entities.VACostVA CostSystem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46364.610274723302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46364.610274723302</v>
      </c>
      <c r="P6">
        <f t="array" ref="P6">MAX(IF((OutputTable[GroupByKey]=OutputTable[[#This Row],[GroupByKey]]),(OutputTable[GroupByKey]=OutputTable[[#This Row],[GroupByKey]])*OutputTable[RecordedValue]))</f>
        <v>46364.610274723302</v>
      </c>
    </row>
    <row r="7" spans="1:16" x14ac:dyDescent="0.3">
      <c r="A7" t="s">
        <v>67</v>
      </c>
      <c r="B7" t="s">
        <v>69</v>
      </c>
      <c r="C7">
        <v>1</v>
      </c>
      <c r="D7" t="s">
        <v>102</v>
      </c>
      <c r="E7" t="s">
        <v>86</v>
      </c>
      <c r="F7" t="s">
        <v>96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Bank Agency counters simulationAll Entities.WaitCostWait CostSystem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0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0</v>
      </c>
      <c r="P7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3">
      <c r="A8" t="s">
        <v>67</v>
      </c>
      <c r="B8" t="s">
        <v>69</v>
      </c>
      <c r="C8">
        <v>1</v>
      </c>
      <c r="D8" t="s">
        <v>103</v>
      </c>
      <c r="E8" t="s">
        <v>104</v>
      </c>
      <c r="F8" t="s">
        <v>96</v>
      </c>
      <c r="G8">
        <v>46364.610274723302</v>
      </c>
      <c r="H8">
        <v>0</v>
      </c>
      <c r="I8" t="str">
        <f>OutputTable[[#This Row],[ProjectName]]&amp;OutputTable[[#This Row],[Name]]&amp;OutputTable[[#This Row],[Type]]&amp;OutputTable[[#This Row],[Source]]</f>
        <v>Bank Agency counters simulationAll Resources.BusyCostBusy CostSystem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46364.610274723302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46364.610274723302</v>
      </c>
      <c r="P8">
        <f t="array" ref="P8">MAX(IF((OutputTable[GroupByKey]=OutputTable[[#This Row],[GroupByKey]]),(OutputTable[GroupByKey]=OutputTable[[#This Row],[GroupByKey]])*OutputTable[RecordedValue]))</f>
        <v>46364.610274723302</v>
      </c>
    </row>
    <row r="9" spans="1:16" x14ac:dyDescent="0.3">
      <c r="A9" t="s">
        <v>67</v>
      </c>
      <c r="B9" t="s">
        <v>69</v>
      </c>
      <c r="C9">
        <v>1</v>
      </c>
      <c r="D9" t="s">
        <v>105</v>
      </c>
      <c r="E9" t="s">
        <v>106</v>
      </c>
      <c r="F9" t="s">
        <v>96</v>
      </c>
      <c r="G9">
        <v>30416.873016301</v>
      </c>
      <c r="H9">
        <v>0</v>
      </c>
      <c r="I9" t="str">
        <f>OutputTable[[#This Row],[ProjectName]]&amp;OutputTable[[#This Row],[Name]]&amp;OutputTable[[#This Row],[Type]]&amp;OutputTable[[#This Row],[Source]]</f>
        <v>Bank Agency counters simulationAll Resources.IdleCostIdle CostSystem</v>
      </c>
      <c r="J9">
        <f t="array" ref="J9">MAX(IF((ProjectInfoTable[ProjectName]=OutputTable[[#This Row],[ProjectName]]),(ProjectInfoTable[ProjectName]=OutputTable[[#This Row],[ProjectName]])*ProjectInfoTable[NumberOfReplications]))</f>
        <v>1</v>
      </c>
      <c r="K9">
        <f t="array" ref="K9">IFERROR(AVERAGE(IF((OutputTable[GroupByKey]=OutputTable[[#This Row],[GroupByKey]]),(OutputTable[GroupByKey]=OutputTable[[#This Row],[GroupByKey]])*OutputTable[RecordedValue])),0)</f>
        <v>30416.873016301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>
        <f t="array" ref="O9">MIN(IF((OutputTable[GroupByKey]=OutputTable[[#This Row],[GroupByKey]]),(OutputTable[GroupByKey]=OutputTable[[#This Row],[GroupByKey]])*OutputTable[RecordedValue]))</f>
        <v>30416.873016301</v>
      </c>
      <c r="P9">
        <f t="array" ref="P9">MAX(IF((OutputTable[GroupByKey]=OutputTable[[#This Row],[GroupByKey]]),(OutputTable[GroupByKey]=OutputTable[[#This Row],[GroupByKey]])*OutputTable[RecordedValue]))</f>
        <v>30416.873016301</v>
      </c>
    </row>
    <row r="10" spans="1:16" x14ac:dyDescent="0.3">
      <c r="A10" t="s">
        <v>67</v>
      </c>
      <c r="B10" t="s">
        <v>69</v>
      </c>
      <c r="C10">
        <v>1</v>
      </c>
      <c r="D10" t="s">
        <v>107</v>
      </c>
      <c r="E10" t="s">
        <v>80</v>
      </c>
      <c r="F10" t="s">
        <v>96</v>
      </c>
      <c r="G10">
        <v>76781.483291024197</v>
      </c>
      <c r="H10">
        <v>0</v>
      </c>
      <c r="I10" t="str">
        <f>OutputTable[[#This Row],[ProjectName]]&amp;OutputTable[[#This Row],[Name]]&amp;OutputTable[[#This Row],[Type]]&amp;OutputTable[[#This Row],[Source]]</f>
        <v>Bank Agency counters simulationAll Resources.TotalCostTotal CostSystem</v>
      </c>
      <c r="J10">
        <f t="array" ref="J10">MAX(IF((ProjectInfoTable[ProjectName]=OutputTable[[#This Row],[ProjectName]]),(ProjectInfoTable[ProjectName]=OutputTable[[#This Row],[ProjectName]])*ProjectInfoTable[NumberOfReplications]))</f>
        <v>1</v>
      </c>
      <c r="K10">
        <f t="array" ref="K10">IFERROR(AVERAGE(IF((OutputTable[GroupByKey]=OutputTable[[#This Row],[GroupByKey]]),(OutputTable[GroupByKey]=OutputTable[[#This Row],[GroupByKey]])*OutputTable[RecordedValue])),0)</f>
        <v>76781.483291024197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>
        <f t="array" ref="O10">MIN(IF((OutputTable[GroupByKey]=OutputTable[[#This Row],[GroupByKey]]),(OutputTable[GroupByKey]=OutputTable[[#This Row],[GroupByKey]])*OutputTable[RecordedValue]))</f>
        <v>76781.483291024197</v>
      </c>
      <c r="P10">
        <f t="array" ref="P10">MAX(IF((OutputTable[GroupByKey]=OutputTable[[#This Row],[GroupByKey]]),(OutputTable[GroupByKey]=OutputTable[[#This Row],[GroupByKey]])*OutputTable[RecordedValue]))</f>
        <v>76781.483291024197</v>
      </c>
    </row>
    <row r="11" spans="1:16" x14ac:dyDescent="0.3">
      <c r="A11" t="s">
        <v>67</v>
      </c>
      <c r="B11" t="s">
        <v>69</v>
      </c>
      <c r="C11">
        <v>1</v>
      </c>
      <c r="D11" t="s">
        <v>108</v>
      </c>
      <c r="E11" t="s">
        <v>109</v>
      </c>
      <c r="F11" t="s">
        <v>96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Bank Agency counters simulationAll Resources.UsageCostUsage CostSystem</v>
      </c>
      <c r="J11">
        <f t="array" ref="J11">MAX(IF((ProjectInfoTable[ProjectName]=OutputTable[[#This Row],[ProjectName]]),(ProjectInfoTable[ProjectName]=OutputTable[[#This Row],[ProjectName]])*ProjectInfoTable[NumberOfReplications]))</f>
        <v>1</v>
      </c>
      <c r="K11">
        <f t="array" ref="K11">IFERROR(AVERAGE(IF((OutputTable[GroupByKey]=OutputTable[[#This Row],[GroupByKey]]),(OutputTable[GroupByKey]=OutputTable[[#This Row],[GroupByKey]])*OutputTable[RecordedValue])),0)</f>
        <v>0</v>
      </c>
      <c r="L11">
        <f t="array" ref="L11">IFERROR(_xlfn.STDEV.S(IF((OutputTable[GroupByKey]=OutputTable[[#This Row],[GroupByKey]]),(OutputTable[GroupByKey]=OutputTable[[#This Row],[GroupByKey]])*OutputTable[RecordedValue])),0)</f>
        <v>0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>
        <f t="array" ref="O11">MIN(IF((OutputTable[GroupByKey]=OutputTable[[#This Row],[GroupByKey]]),(OutputTable[GroupByKey]=OutputTable[[#This Row],[GroupByKey]])*OutputTable[RecordedValue]))</f>
        <v>0</v>
      </c>
      <c r="P1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3">
      <c r="A12" t="s">
        <v>67</v>
      </c>
      <c r="B12" t="s">
        <v>69</v>
      </c>
      <c r="C12">
        <v>1</v>
      </c>
      <c r="D12" t="s">
        <v>110</v>
      </c>
      <c r="E12" t="s">
        <v>104</v>
      </c>
      <c r="F12" t="s">
        <v>90</v>
      </c>
      <c r="G12">
        <v>46364.610274723302</v>
      </c>
      <c r="H12">
        <v>0</v>
      </c>
      <c r="I12" t="str">
        <f>OutputTable[[#This Row],[ProjectName]]&amp;OutputTable[[#This Row],[Name]]&amp;OutputTable[[#This Row],[Type]]&amp;OutputTable[[#This Row],[Source]]</f>
        <v>Bank Agency counters simulationCounter.BusyCostBusy CostResource</v>
      </c>
      <c r="J12">
        <f t="array" ref="J12">MAX(IF((ProjectInfoTable[ProjectName]=OutputTable[[#This Row],[ProjectName]]),(ProjectInfoTable[ProjectName]=OutputTable[[#This Row],[ProjectName]])*ProjectInfoTable[NumberOfReplications]))</f>
        <v>1</v>
      </c>
      <c r="K12">
        <f t="array" ref="K12">IFERROR(AVERAGE(IF((OutputTable[GroupByKey]=OutputTable[[#This Row],[GroupByKey]]),(OutputTable[GroupByKey]=OutputTable[[#This Row],[GroupByKey]])*OutputTable[RecordedValue])),0)</f>
        <v>46364.610274723302</v>
      </c>
      <c r="L12">
        <f t="array" ref="L12">IFERROR(_xlfn.STDEV.S(IF((OutputTable[GroupByKey]=OutputTable[[#This Row],[GroupByKey]]),(OutputTable[GroupByKey]=OutputTable[[#This Row],[GroupByKey]])*OutputTable[RecordedValue])),0)</f>
        <v>0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>
        <f t="array" ref="O12">MIN(IF((OutputTable[GroupByKey]=OutputTable[[#This Row],[GroupByKey]]),(OutputTable[GroupByKey]=OutputTable[[#This Row],[GroupByKey]])*OutputTable[RecordedValue]))</f>
        <v>46364.610274723302</v>
      </c>
      <c r="P12">
        <f t="array" ref="P12">MAX(IF((OutputTable[GroupByKey]=OutputTable[[#This Row],[GroupByKey]]),(OutputTable[GroupByKey]=OutputTable[[#This Row],[GroupByKey]])*OutputTable[RecordedValue]))</f>
        <v>46364.610274723302</v>
      </c>
    </row>
    <row r="13" spans="1:16" x14ac:dyDescent="0.3">
      <c r="A13" t="s">
        <v>67</v>
      </c>
      <c r="B13" t="s">
        <v>69</v>
      </c>
      <c r="C13">
        <v>1</v>
      </c>
      <c r="D13" t="s">
        <v>111</v>
      </c>
      <c r="E13" t="s">
        <v>106</v>
      </c>
      <c r="F13" t="s">
        <v>90</v>
      </c>
      <c r="G13">
        <v>30416.873016301</v>
      </c>
      <c r="H13">
        <v>0</v>
      </c>
      <c r="I13" t="str">
        <f>OutputTable[[#This Row],[ProjectName]]&amp;OutputTable[[#This Row],[Name]]&amp;OutputTable[[#This Row],[Type]]&amp;OutputTable[[#This Row],[Source]]</f>
        <v>Bank Agency counters simulationCounter.IdleCostIdle CostResource</v>
      </c>
      <c r="J13">
        <f t="array" ref="J13">MAX(IF((ProjectInfoTable[ProjectName]=OutputTable[[#This Row],[ProjectName]]),(ProjectInfoTable[ProjectName]=OutputTable[[#This Row],[ProjectName]])*ProjectInfoTable[NumberOfReplications]))</f>
        <v>1</v>
      </c>
      <c r="K13">
        <f t="array" ref="K13">IFERROR(AVERAGE(IF((OutputTable[GroupByKey]=OutputTable[[#This Row],[GroupByKey]]),(OutputTable[GroupByKey]=OutputTable[[#This Row],[GroupByKey]])*OutputTable[RecordedValue])),0)</f>
        <v>30416.873016301</v>
      </c>
      <c r="L13">
        <f t="array" ref="L13">IFERROR(_xlfn.STDEV.S(IF((OutputTable[GroupByKey]=OutputTable[[#This Row],[GroupByKey]]),(OutputTable[GroupByKey]=OutputTable[[#This Row],[GroupByKey]])*OutputTable[RecordedValue])),0)</f>
        <v>0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>
        <f t="array" ref="O13">MIN(IF((OutputTable[GroupByKey]=OutputTable[[#This Row],[GroupByKey]]),(OutputTable[GroupByKey]=OutputTable[[#This Row],[GroupByKey]])*OutputTable[RecordedValue]))</f>
        <v>30416.873016301</v>
      </c>
      <c r="P13">
        <f t="array" ref="P13">MAX(IF((OutputTable[GroupByKey]=OutputTable[[#This Row],[GroupByKey]]),(OutputTable[GroupByKey]=OutputTable[[#This Row],[GroupByKey]])*OutputTable[RecordedValue]))</f>
        <v>30416.873016301</v>
      </c>
    </row>
    <row r="14" spans="1:16" x14ac:dyDescent="0.3">
      <c r="A14" t="s">
        <v>67</v>
      </c>
      <c r="B14" t="s">
        <v>69</v>
      </c>
      <c r="C14">
        <v>1</v>
      </c>
      <c r="D14" t="s">
        <v>112</v>
      </c>
      <c r="E14" t="s">
        <v>113</v>
      </c>
      <c r="F14" t="s">
        <v>90</v>
      </c>
      <c r="G14">
        <v>1427</v>
      </c>
      <c r="H14">
        <v>0</v>
      </c>
      <c r="I14" t="str">
        <f>OutputTable[[#This Row],[ProjectName]]&amp;OutputTable[[#This Row],[Name]]&amp;OutputTable[[#This Row],[Type]]&amp;OutputTable[[#This Row],[Source]]</f>
        <v>Bank Agency counters simulationCounter.NumberSeizedTotal Number SeizedResource</v>
      </c>
      <c r="J14">
        <f t="array" ref="J14">MAX(IF((ProjectInfoTable[ProjectName]=OutputTable[[#This Row],[ProjectName]]),(ProjectInfoTable[ProjectName]=OutputTable[[#This Row],[ProjectName]])*ProjectInfoTable[NumberOfReplications]))</f>
        <v>1</v>
      </c>
      <c r="K14">
        <f t="array" ref="K14">IFERROR(AVERAGE(IF((OutputTable[GroupByKey]=OutputTable[[#This Row],[GroupByKey]]),(OutputTable[GroupByKey]=OutputTable[[#This Row],[GroupByKey]])*OutputTable[RecordedValue])),0)</f>
        <v>1427</v>
      </c>
      <c r="L14">
        <f t="array" ref="L14">IFERROR(_xlfn.STDEV.S(IF((OutputTable[GroupByKey]=OutputTable[[#This Row],[GroupByKey]]),(OutputTable[GroupByKey]=OutputTable[[#This Row],[GroupByKey]])*OutputTable[RecordedValue])),0)</f>
        <v>0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>
        <f t="array" ref="O14">MIN(IF((OutputTable[GroupByKey]=OutputTable[[#This Row],[GroupByKey]]),(OutputTable[GroupByKey]=OutputTable[[#This Row],[GroupByKey]])*OutputTable[RecordedValue]))</f>
        <v>1427</v>
      </c>
      <c r="P14">
        <f t="array" ref="P14">MAX(IF((OutputTable[GroupByKey]=OutputTable[[#This Row],[GroupByKey]]),(OutputTable[GroupByKey]=OutputTable[[#This Row],[GroupByKey]])*OutputTable[RecordedValue]))</f>
        <v>1427</v>
      </c>
    </row>
    <row r="15" spans="1:16" x14ac:dyDescent="0.3">
      <c r="A15" t="s">
        <v>67</v>
      </c>
      <c r="B15" t="s">
        <v>69</v>
      </c>
      <c r="C15">
        <v>1</v>
      </c>
      <c r="D15" t="s">
        <v>114</v>
      </c>
      <c r="E15" t="s">
        <v>115</v>
      </c>
      <c r="F15" t="s">
        <v>90</v>
      </c>
      <c r="G15">
        <v>0.60394696593357899</v>
      </c>
      <c r="H15">
        <v>0</v>
      </c>
      <c r="I15" t="str">
        <f>OutputTable[[#This Row],[ProjectName]]&amp;OutputTable[[#This Row],[Name]]&amp;OutputTable[[#This Row],[Type]]&amp;OutputTable[[#This Row],[Source]]</f>
        <v>Bank Agency counters simulationCounter.ScheduledUtilizationScheduled UtilizationResource</v>
      </c>
      <c r="J15">
        <f t="array" ref="J15">MAX(IF((ProjectInfoTable[ProjectName]=OutputTable[[#This Row],[ProjectName]]),(ProjectInfoTable[ProjectName]=OutputTable[[#This Row],[ProjectName]])*ProjectInfoTable[NumberOfReplications]))</f>
        <v>1</v>
      </c>
      <c r="K15">
        <f t="array" ref="K15">IFERROR(AVERAGE(IF((OutputTable[GroupByKey]=OutputTable[[#This Row],[GroupByKey]]),(OutputTable[GroupByKey]=OutputTable[[#This Row],[GroupByKey]])*OutputTable[RecordedValue])),0)</f>
        <v>0.60394696593357899</v>
      </c>
      <c r="L15">
        <f t="array" ref="L15">IFERROR(_xlfn.STDEV.S(IF((OutputTable[GroupByKey]=OutputTable[[#This Row],[GroupByKey]]),(OutputTable[GroupByKey]=OutputTable[[#This Row],[GroupByKey]])*OutputTable[RecordedValue])),0)</f>
        <v>0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>
        <f t="array" ref="O15">MIN(IF((OutputTable[GroupByKey]=OutputTable[[#This Row],[GroupByKey]]),(OutputTable[GroupByKey]=OutputTable[[#This Row],[GroupByKey]])*OutputTable[RecordedValue]))</f>
        <v>0.60394696593357899</v>
      </c>
      <c r="P15">
        <f t="array" ref="P15">MAX(IF((OutputTable[GroupByKey]=OutputTable[[#This Row],[GroupByKey]]),(OutputTable[GroupByKey]=OutputTable[[#This Row],[GroupByKey]])*OutputTable[RecordedValue]))</f>
        <v>0.60394696593357899</v>
      </c>
    </row>
    <row r="16" spans="1:16" x14ac:dyDescent="0.3">
      <c r="A16" t="s">
        <v>67</v>
      </c>
      <c r="B16" t="s">
        <v>69</v>
      </c>
      <c r="C16">
        <v>1</v>
      </c>
      <c r="D16" t="s">
        <v>116</v>
      </c>
      <c r="E16" t="s">
        <v>109</v>
      </c>
      <c r="F16" t="s">
        <v>90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Bank Agency counters simulationCounter.UsageCostUsage CostResource</v>
      </c>
      <c r="J16">
        <f t="array" ref="J16">MAX(IF((ProjectInfoTable[ProjectName]=OutputTable[[#This Row],[ProjectName]]),(ProjectInfoTable[ProjectName]=OutputTable[[#This Row],[ProjectName]])*ProjectInfoTable[NumberOfReplications]))</f>
        <v>1</v>
      </c>
      <c r="K16">
        <f t="array" ref="K16">IFERROR(AVERAGE(IF((OutputTable[GroupByKey]=OutputTable[[#This Row],[GroupByKey]]),(OutputTable[GroupByKey]=OutputTable[[#This Row],[GroupByKey]])*OutputTable[RecordedValue])),0)</f>
        <v>0</v>
      </c>
      <c r="L16">
        <f t="array" ref="L16">IFERROR(_xlfn.STDEV.S(IF((OutputTable[GroupByKey]=OutputTable[[#This Row],[GroupByKey]]),(OutputTable[GroupByKey]=OutputTable[[#This Row],[GroupByKey]])*OutputTable[RecordedValue])),0)</f>
        <v>0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>
        <f t="array" ref="O16">MIN(IF((OutputTable[GroupByKey]=OutputTable[[#This Row],[GroupByKey]]),(OutputTable[GroupByKey]=OutputTable[[#This Row],[GroupByKey]])*OutputTable[RecordedValue]))</f>
        <v>0</v>
      </c>
      <c r="P16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3">
      <c r="A17" t="s">
        <v>67</v>
      </c>
      <c r="B17" t="s">
        <v>69</v>
      </c>
      <c r="C17">
        <v>1</v>
      </c>
      <c r="D17" t="s">
        <v>117</v>
      </c>
      <c r="E17" t="s">
        <v>118</v>
      </c>
      <c r="F17" t="s">
        <v>76</v>
      </c>
      <c r="G17">
        <v>1427</v>
      </c>
      <c r="H17">
        <v>0</v>
      </c>
      <c r="I17" t="str">
        <f>OutputTable[[#This Row],[ProjectName]]&amp;OutputTable[[#This Row],[Name]]&amp;OutputTable[[#This Row],[Type]]&amp;OutputTable[[#This Row],[Source]]</f>
        <v>Bank Agency counters simulationCustomer.NumberInNumber InEntity</v>
      </c>
      <c r="J17">
        <f t="array" ref="J17">MAX(IF((ProjectInfoTable[ProjectName]=OutputTable[[#This Row],[ProjectName]]),(ProjectInfoTable[ProjectName]=OutputTable[[#This Row],[ProjectName]])*ProjectInfoTable[NumberOfReplications]))</f>
        <v>1</v>
      </c>
      <c r="K17">
        <f t="array" ref="K17">IFERROR(AVERAGE(IF((OutputTable[GroupByKey]=OutputTable[[#This Row],[GroupByKey]]),(OutputTable[GroupByKey]=OutputTable[[#This Row],[GroupByKey]])*OutputTable[RecordedValue])),0)</f>
        <v>1427</v>
      </c>
      <c r="L17">
        <f t="array" ref="L17">IFERROR(_xlfn.STDEV.S(IF((OutputTable[GroupByKey]=OutputTable[[#This Row],[GroupByKey]]),(OutputTable[GroupByKey]=OutputTable[[#This Row],[GroupByKey]])*OutputTable[RecordedValue])),0)</f>
        <v>0</v>
      </c>
      <c r="M17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>
        <f t="array" ref="O17">MIN(IF((OutputTable[GroupByKey]=OutputTable[[#This Row],[GroupByKey]]),(OutputTable[GroupByKey]=OutputTable[[#This Row],[GroupByKey]])*OutputTable[RecordedValue]))</f>
        <v>1427</v>
      </c>
      <c r="P17">
        <f t="array" ref="P17">MAX(IF((OutputTable[GroupByKey]=OutputTable[[#This Row],[GroupByKey]]),(OutputTable[GroupByKey]=OutputTable[[#This Row],[GroupByKey]])*OutputTable[RecordedValue]))</f>
        <v>1427</v>
      </c>
    </row>
    <row r="18" spans="1:16" x14ac:dyDescent="0.3">
      <c r="A18" t="s">
        <v>67</v>
      </c>
      <c r="B18" t="s">
        <v>69</v>
      </c>
      <c r="C18">
        <v>1</v>
      </c>
      <c r="D18" t="s">
        <v>119</v>
      </c>
      <c r="E18" t="s">
        <v>120</v>
      </c>
      <c r="F18" t="s">
        <v>76</v>
      </c>
      <c r="G18">
        <v>1425</v>
      </c>
      <c r="H18">
        <v>0</v>
      </c>
      <c r="I18" t="str">
        <f>OutputTable[[#This Row],[ProjectName]]&amp;OutputTable[[#This Row],[Name]]&amp;OutputTable[[#This Row],[Type]]&amp;OutputTable[[#This Row],[Source]]</f>
        <v>Bank Agency counters simulationCustomer.NumberOutNumber OutEntity</v>
      </c>
      <c r="J18">
        <f t="array" ref="J18">MAX(IF((ProjectInfoTable[ProjectName]=OutputTable[[#This Row],[ProjectName]]),(ProjectInfoTable[ProjectName]=OutputTable[[#This Row],[ProjectName]])*ProjectInfoTable[NumberOfReplications]))</f>
        <v>1</v>
      </c>
      <c r="K18">
        <f t="array" ref="K18">IFERROR(AVERAGE(IF((OutputTable[GroupByKey]=OutputTable[[#This Row],[GroupByKey]]),(OutputTable[GroupByKey]=OutputTable[[#This Row],[GroupByKey]])*OutputTable[RecordedValue])),0)</f>
        <v>1425</v>
      </c>
      <c r="L18">
        <f t="array" ref="L18">IFERROR(_xlfn.STDEV.S(IF((OutputTable[GroupByKey]=OutputTable[[#This Row],[GroupByKey]]),(OutputTable[GroupByKey]=OutputTable[[#This Row],[GroupByKey]])*OutputTable[RecordedValue])),0)</f>
        <v>0</v>
      </c>
      <c r="M18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>
        <f t="array" ref="O18">MIN(IF((OutputTable[GroupByKey]=OutputTable[[#This Row],[GroupByKey]]),(OutputTable[GroupByKey]=OutputTable[[#This Row],[GroupByKey]])*OutputTable[RecordedValue]))</f>
        <v>1425</v>
      </c>
      <c r="P18">
        <f t="array" ref="P18">MAX(IF((OutputTable[GroupByKey]=OutputTable[[#This Row],[GroupByKey]]),(OutputTable[GroupByKey]=OutputTable[[#This Row],[GroupByKey]])*OutputTable[RecordedValue]))</f>
        <v>1425</v>
      </c>
    </row>
    <row r="19" spans="1:16" x14ac:dyDescent="0.3">
      <c r="A19" t="s">
        <v>67</v>
      </c>
      <c r="B19" t="s">
        <v>69</v>
      </c>
      <c r="C19">
        <v>1</v>
      </c>
      <c r="D19" t="s">
        <v>121</v>
      </c>
      <c r="E19" t="s">
        <v>120</v>
      </c>
      <c r="F19" t="s">
        <v>96</v>
      </c>
      <c r="G19">
        <v>1425</v>
      </c>
      <c r="H19">
        <v>0</v>
      </c>
      <c r="I19" t="str">
        <f>OutputTable[[#This Row],[ProjectName]]&amp;OutputTable[[#This Row],[Name]]&amp;OutputTable[[#This Row],[Type]]&amp;OutputTable[[#This Row],[Source]]</f>
        <v>Bank Agency counters simulationSystem.NumberOutNumber OutSystem</v>
      </c>
      <c r="J19">
        <f t="array" ref="J19">MAX(IF((ProjectInfoTable[ProjectName]=OutputTable[[#This Row],[ProjectName]]),(ProjectInfoTable[ProjectName]=OutputTable[[#This Row],[ProjectName]])*ProjectInfoTable[NumberOfReplications]))</f>
        <v>1</v>
      </c>
      <c r="K19">
        <f t="array" ref="K19">IFERROR(AVERAGE(IF((OutputTable[GroupByKey]=OutputTable[[#This Row],[GroupByKey]]),(OutputTable[GroupByKey]=OutputTable[[#This Row],[GroupByKey]])*OutputTable[RecordedValue])),0)</f>
        <v>1425</v>
      </c>
      <c r="L19">
        <f t="array" ref="L19">IFERROR(_xlfn.STDEV.S(IF((OutputTable[GroupByKey]=OutputTable[[#This Row],[GroupByKey]]),(OutputTable[GroupByKey]=OutputTable[[#This Row],[GroupByKey]])*OutputTable[RecordedValue])),0)</f>
        <v>0</v>
      </c>
      <c r="M19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>
        <f t="array" ref="O19">MIN(IF((OutputTable[GroupByKey]=OutputTable[[#This Row],[GroupByKey]]),(OutputTable[GroupByKey]=OutputTable[[#This Row],[GroupByKey]])*OutputTable[RecordedValue]))</f>
        <v>1425</v>
      </c>
      <c r="P19">
        <f t="array" ref="P19">MAX(IF((OutputTable[GroupByKey]=OutputTable[[#This Row],[GroupByKey]]),(OutputTable[GroupByKey]=OutputTable[[#This Row],[GroupByKey]])*OutputTable[RecordedValue]))</f>
        <v>1425</v>
      </c>
    </row>
    <row r="20" spans="1:16" x14ac:dyDescent="0.3">
      <c r="A20" t="s">
        <v>67</v>
      </c>
      <c r="B20" t="s">
        <v>69</v>
      </c>
      <c r="C20">
        <v>1</v>
      </c>
      <c r="D20" t="s">
        <v>122</v>
      </c>
      <c r="E20" t="s">
        <v>80</v>
      </c>
      <c r="F20" t="s">
        <v>96</v>
      </c>
      <c r="G20">
        <v>76781.483291024197</v>
      </c>
      <c r="H20">
        <v>0</v>
      </c>
      <c r="I20" t="str">
        <f>OutputTable[[#This Row],[ProjectName]]&amp;OutputTable[[#This Row],[Name]]&amp;OutputTable[[#This Row],[Type]]&amp;OutputTable[[#This Row],[Source]]</f>
        <v>Bank Agency counters simulationSystem.TotalCostTotal CostSystem</v>
      </c>
      <c r="J20">
        <f t="array" ref="J20">MAX(IF((ProjectInfoTable[ProjectName]=OutputTable[[#This Row],[ProjectName]]),(ProjectInfoTable[ProjectName]=OutputTable[[#This Row],[ProjectName]])*ProjectInfoTable[NumberOfReplications]))</f>
        <v>1</v>
      </c>
      <c r="K20">
        <f t="array" ref="K20">IFERROR(AVERAGE(IF((OutputTable[GroupByKey]=OutputTable[[#This Row],[GroupByKey]]),(OutputTable[GroupByKey]=OutputTable[[#This Row],[GroupByKey]])*OutputTable[RecordedValue])),0)</f>
        <v>76781.483291024197</v>
      </c>
      <c r="L20">
        <f t="array" ref="L20">IFERROR(_xlfn.STDEV.S(IF((OutputTable[GroupByKey]=OutputTable[[#This Row],[GroupByKey]]),(OutputTable[GroupByKey]=OutputTable[[#This Row],[GroupByKey]])*OutputTable[RecordedValue])),0)</f>
        <v>0</v>
      </c>
      <c r="M20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>
        <f t="array" ref="O20">MIN(IF((OutputTable[GroupByKey]=OutputTable[[#This Row],[GroupByKey]]),(OutputTable[GroupByKey]=OutputTable[[#This Row],[GroupByKey]])*OutputTable[RecordedValue]))</f>
        <v>76781.483291024197</v>
      </c>
      <c r="P20">
        <f t="array" ref="P20">MAX(IF((OutputTable[GroupByKey]=OutputTable[[#This Row],[GroupByKey]]),(OutputTable[GroupByKey]=OutputTable[[#This Row],[GroupByKey]])*OutputTable[RecordedValue]))</f>
        <v>76781.483291024197</v>
      </c>
    </row>
  </sheetData>
  <phoneticPr fontId="2" type="noConversion"/>
  <conditionalFormatting sqref="I2:P20">
    <cfRule type="expression" dxfId="3" priority="2">
      <formula>MOD(ROW(),2)=0</formula>
    </cfRule>
  </conditionalFormatting>
  <conditionalFormatting sqref="N2:N20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customWidth="1"/>
    <col min="2" max="2" width="21.109375" customWidth="1"/>
    <col min="3" max="3" width="12.5546875" bestFit="1" customWidth="1"/>
    <col min="4" max="4" width="8.21875" customWidth="1"/>
    <col min="5" max="5" width="10.77734375" bestFit="1" customWidth="1"/>
    <col min="6" max="6" width="9" customWidth="1"/>
    <col min="7" max="7" width="20.44140625" customWidth="1"/>
    <col min="8" max="8" width="21.109375" customWidth="1"/>
    <col min="9" max="9" width="23.6640625" bestFit="1" customWidth="1"/>
    <col min="10" max="10" width="24.88671875" customWidth="1"/>
    <col min="11" max="11" width="15.21875" customWidth="1"/>
    <col min="12" max="12" width="13.6640625" customWidth="1"/>
    <col min="13" max="13" width="28.77734375" customWidth="1"/>
    <col min="14" max="14" width="29.44140625" customWidth="1"/>
    <col min="15" max="15" width="16.109375" customWidth="1"/>
    <col min="16" max="16" width="27.44140625" customWidth="1"/>
    <col min="17" max="17" width="28.109375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66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DELL</cp:lastModifiedBy>
  <cp:lastPrinted>2022-03-22T10:33:10Z</cp:lastPrinted>
  <dcterms:created xsi:type="dcterms:W3CDTF">2020-06-29T21:30:31Z</dcterms:created>
  <dcterms:modified xsi:type="dcterms:W3CDTF">2025-04-21T15:18:08Z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